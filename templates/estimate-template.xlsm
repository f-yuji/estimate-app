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xml" ContentType="application/vnd.openxmlformats-officedocument.drawing+xml"/>
  <Override PartName="/xl/ctrlProps/ctrlProp3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d.docs.live.net/3fd5f11cf215de22/デスクトップ/"/>
    </mc:Choice>
  </mc:AlternateContent>
  <xr:revisionPtr revIDLastSave="4952" documentId="13_ncr:1_{41B41DC5-5796-4B00-8246-89E0F8FE4B49}" xr6:coauthVersionLast="47" xr6:coauthVersionMax="47" xr10:uidLastSave="{195A05C1-204C-49A7-B4DA-0870C3686B96}"/>
  <bookViews>
    <workbookView xWindow="-108" yWindow="-108" windowWidth="23256" windowHeight="12456" firstSheet="5" activeTab="12" xr2:uid="{00000000-000D-0000-FFFF-FFFF00000000}"/>
  </bookViews>
  <sheets>
    <sheet name="物件概要" sheetId="2" r:id="rId1"/>
    <sheet name="物件概要(2)" sheetId="7" r:id="rId2"/>
    <sheet name="見積書" sheetId="1" r:id="rId3"/>
    <sheet name="内訳明細書" sheetId="3" r:id="rId4"/>
    <sheet name="内訳明細書 (2)" sheetId="9" r:id="rId5"/>
    <sheet name="約款 (1)" sheetId="21" r:id="rId6"/>
    <sheet name="約款 (2)" sheetId="23" r:id="rId7"/>
    <sheet name="約款 (3)" sheetId="22" r:id="rId8"/>
    <sheet name="クーリングオフ説明" sheetId="25" r:id="rId9"/>
    <sheet name="請負契約書" sheetId="26" r:id="rId10"/>
    <sheet name="完工書" sheetId="27" r:id="rId11"/>
    <sheet name="工事保証" sheetId="28" r:id="rId12"/>
    <sheet name="請求書" sheetId="29" r:id="rId13"/>
  </sheets>
  <definedNames>
    <definedName name="_xleta.AVERAGE" hidden="1" xlm="1">#NAME?</definedName>
    <definedName name="_xleta.EDATE" hidden="1" xlm="1">#NAME?</definedName>
    <definedName name="_xleta.ISNUMBER" hidden="1" xlm="1">#NAME?</definedName>
    <definedName name="_xleta.SUM" hidden="1" xlm="1">#NAME?</definedName>
    <definedName name="_xleta.SUMPRODUCT" hidden="1" xlm="1">#NAME?</definedName>
    <definedName name="_xlpm.isMajor" hidden="1" xlm="1">#NAME?</definedName>
    <definedName name="_xlpm.lastMajorRow" hidden="1" xlm="1">#NAME?</definedName>
    <definedName name="_xlpm.majorNo" hidden="1" xlm="1">#NAME?</definedName>
    <definedName name="_xlpm.minorNo" hidden="1" xlm="1">#NAME?</definedName>
    <definedName name="_xlpm.r" hidden="1" xlm="1">#NAME?</definedName>
    <definedName name="_xlpm.t" hidden="1" xlm="1">#NAME?</definedName>
    <definedName name="_xlnm.Print_Area" localSheetId="12">請求書!$A$1:$F$49</definedName>
    <definedName name="_xlnm.Print_Area" localSheetId="3">内訳明細書!$A$1:$I$32</definedName>
    <definedName name="_xlnm.Print_Area" localSheetId="4">'内訳明細書 (2)'!$A$1:$I$32</definedName>
    <definedName name="_xlnm.Print_Area" localSheetId="0">物件概要!$A$1:$I$36</definedName>
    <definedName name="_xlnm.Print_Area" localSheetId="1">'物件概要(2)'!$A$1:$I$37</definedName>
    <definedName name="_xlnm.Print_Area" localSheetId="5">'約款 (1)'!$A$1:$D$49</definedName>
    <definedName name="_xlnm.Print_Area" localSheetId="6">'約款 (2)'!$A$1:$D$49</definedName>
    <definedName name="_xlnm.Print_Area" localSheetId="7">'約款 (3)'!$A$1:$D$49</definedName>
    <definedName name="項目">見積書!$A$13:$A$29</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 i="3" l="1" a="1"/>
  <c r="K10" i="3" a="1"/>
  <c r="A4" i="29"/>
  <c r="F15" i="29"/>
  <c r="F38" i="29"/>
  <c r="F40" i="29"/>
  <c r="F39" i="29"/>
  <c r="E7" i="29"/>
  <c r="T11" i="28"/>
  <c r="S10" i="28"/>
  <c r="S9" i="28"/>
  <c r="T8" i="28"/>
  <c r="H14" i="28"/>
  <c r="H13" i="28"/>
  <c r="C54" i="27"/>
  <c r="C53" i="27"/>
  <c r="A42" i="27"/>
  <c r="G49" i="27"/>
  <c r="G48" i="27"/>
  <c r="G47" i="27"/>
  <c r="G46" i="27"/>
  <c r="H41" i="27"/>
  <c r="A2" i="27"/>
  <c r="G9" i="27"/>
  <c r="G8" i="27"/>
  <c r="G7" i="27"/>
  <c r="G6" i="27"/>
  <c r="C14" i="27"/>
  <c r="C13" i="27"/>
  <c r="E54" i="26"/>
  <c r="E53" i="26"/>
  <c r="B52" i="26"/>
  <c r="B9" i="26"/>
  <c r="B51" i="26"/>
  <c r="B10" i="26"/>
  <c r="E12" i="26"/>
  <c r="E11" i="26"/>
  <c r="C38" i="26"/>
  <c r="C80" i="26"/>
  <c r="C74" i="26"/>
  <c r="C32" i="26"/>
  <c r="B8" i="26"/>
  <c r="B7" i="26"/>
  <c r="F16" i="29"/>
  <c r="F17" i="29"/>
  <c r="F18" i="29"/>
  <c r="F19" i="29"/>
  <c r="F20" i="29"/>
  <c r="F21" i="29"/>
  <c r="F22" i="29"/>
  <c r="F23" i="29"/>
  <c r="F24" i="29"/>
  <c r="F25" i="29"/>
  <c r="F26" i="29"/>
  <c r="F27" i="29"/>
  <c r="F28" i="29"/>
  <c r="F29" i="29"/>
  <c r="F30" i="29"/>
  <c r="F31" i="29"/>
  <c r="F32" i="29"/>
  <c r="F33" i="29"/>
  <c r="F34" i="29"/>
  <c r="F35" i="29"/>
  <c r="F36" i="29"/>
  <c r="F37" i="29"/>
  <c r="B12" i="29"/>
  <c r="F3" i="29"/>
  <c r="H1" i="27"/>
  <c r="C78" i="26"/>
  <c r="A71" i="25"/>
  <c r="K5" i="9" a="1"/>
  <c r="F5" i="9"/>
  <c r="M5" i="9" a="1"/>
  <c r="H5" i="9"/>
  <c r="I5" i="9"/>
  <c r="K6" i="9" a="1"/>
  <c r="F6" i="9"/>
  <c r="M6" i="9" a="1"/>
  <c r="H6" i="9"/>
  <c r="I6" i="9"/>
  <c r="K7" i="9" a="1"/>
  <c r="F7" i="9"/>
  <c r="M7" i="9" a="1"/>
  <c r="H7" i="9"/>
  <c r="I7" i="9"/>
  <c r="K8" i="9" a="1"/>
  <c r="F8" i="9"/>
  <c r="M8" i="9" a="1"/>
  <c r="H8" i="9"/>
  <c r="I8" i="9"/>
  <c r="K9" i="9" a="1"/>
  <c r="F9" i="9"/>
  <c r="M9" i="9" a="1"/>
  <c r="H9" i="9"/>
  <c r="I9" i="9"/>
  <c r="K10" i="9" a="1"/>
  <c r="F10" i="9"/>
  <c r="M10" i="9" a="1"/>
  <c r="H10" i="9"/>
  <c r="I10" i="9"/>
  <c r="K11" i="9" a="1"/>
  <c r="F11" i="9"/>
  <c r="M11" i="9" a="1"/>
  <c r="H11" i="9"/>
  <c r="I11" i="9"/>
  <c r="K12" i="9" a="1"/>
  <c r="F12" i="9"/>
  <c r="M12" i="9" a="1"/>
  <c r="H12" i="9"/>
  <c r="I12" i="9"/>
  <c r="K13" i="9" a="1"/>
  <c r="F13" i="9"/>
  <c r="M13" i="9" a="1"/>
  <c r="H13" i="9"/>
  <c r="I13" i="9"/>
  <c r="K14" i="9" a="1"/>
  <c r="F14" i="9"/>
  <c r="M14" i="9" a="1"/>
  <c r="H14" i="9"/>
  <c r="I14" i="9"/>
  <c r="K15" i="9" a="1"/>
  <c r="F15" i="9"/>
  <c r="M15" i="9" a="1"/>
  <c r="H15" i="9"/>
  <c r="I15" i="9"/>
  <c r="K16" i="9" a="1"/>
  <c r="F16" i="9"/>
  <c r="M16" i="9" a="1"/>
  <c r="H16" i="9"/>
  <c r="I16" i="9"/>
  <c r="K17" i="9" a="1"/>
  <c r="F17" i="9"/>
  <c r="M17" i="9" a="1"/>
  <c r="H17" i="9"/>
  <c r="I17" i="9"/>
  <c r="K18" i="9" a="1"/>
  <c r="F18" i="9"/>
  <c r="M18" i="9" a="1"/>
  <c r="H18" i="9"/>
  <c r="I18" i="9"/>
  <c r="K19" i="9" a="1"/>
  <c r="F19" i="9"/>
  <c r="M19" i="9" a="1"/>
  <c r="H19" i="9"/>
  <c r="I19" i="9"/>
  <c r="K20" i="9" a="1"/>
  <c r="F20" i="9"/>
  <c r="M20" i="9" a="1"/>
  <c r="H20" i="9"/>
  <c r="I20" i="9"/>
  <c r="K21" i="9" a="1"/>
  <c r="F21" i="9"/>
  <c r="M21" i="9" a="1"/>
  <c r="H21" i="9"/>
  <c r="I21" i="9"/>
  <c r="K22" i="9" a="1"/>
  <c r="F22" i="9"/>
  <c r="M22" i="9" a="1"/>
  <c r="H22" i="9"/>
  <c r="I22" i="9"/>
  <c r="K23" i="9" a="1"/>
  <c r="F23" i="9"/>
  <c r="M23" i="9" a="1"/>
  <c r="H23" i="9"/>
  <c r="I23" i="9"/>
  <c r="K24" i="9" a="1"/>
  <c r="F24" i="9"/>
  <c r="M24" i="9" a="1"/>
  <c r="H24" i="9"/>
  <c r="I24" i="9"/>
  <c r="K25" i="9" a="1"/>
  <c r="F25" i="9"/>
  <c r="M25" i="9" a="1"/>
  <c r="H25" i="9"/>
  <c r="I25" i="9"/>
  <c r="K26" i="9" a="1"/>
  <c r="F26" i="9"/>
  <c r="M26" i="9" a="1"/>
  <c r="H26" i="9"/>
  <c r="I26" i="9"/>
  <c r="K27" i="9" a="1"/>
  <c r="F27" i="9"/>
  <c r="M27" i="9" a="1"/>
  <c r="H27" i="9"/>
  <c r="I27" i="9"/>
  <c r="K28" i="9" a="1"/>
  <c r="F28" i="9"/>
  <c r="M28" i="9" a="1"/>
  <c r="H28" i="9"/>
  <c r="I28" i="9"/>
  <c r="I29" i="9"/>
  <c r="N14" i="1"/>
  <c r="N13" i="1"/>
  <c r="L30" i="1"/>
  <c r="L31" i="1"/>
  <c r="L32" i="1"/>
  <c r="I10" i="1"/>
  <c r="N15" i="1"/>
  <c r="D10" i="1"/>
  <c r="K34" i="2"/>
  <c r="K5" i="3" a="1"/>
  <c r="F5" i="3"/>
  <c r="M5" i="3" a="1"/>
  <c r="H5" i="3"/>
  <c r="M6" i="3" a="1"/>
  <c r="H6" i="3"/>
  <c r="M7" i="3" a="1"/>
  <c r="H7" i="3"/>
  <c r="M8" i="3" a="1"/>
  <c r="H8" i="3"/>
  <c r="M9" i="3" a="1"/>
  <c r="H9" i="3"/>
  <c r="M10" i="3" a="1"/>
  <c r="H10" i="3"/>
  <c r="M11" i="3" a="1"/>
  <c r="H11" i="3"/>
  <c r="M12" i="3" a="1"/>
  <c r="H12" i="3"/>
  <c r="M13" i="3" a="1"/>
  <c r="H13" i="3"/>
  <c r="M14" i="3" a="1"/>
  <c r="H14" i="3"/>
  <c r="M15" i="3" a="1"/>
  <c r="H15" i="3"/>
  <c r="M16" i="3" a="1"/>
  <c r="H16" i="3"/>
  <c r="M17" i="3" a="1"/>
  <c r="H17" i="3"/>
  <c r="M18" i="3" a="1"/>
  <c r="H18" i="3"/>
  <c r="M19" i="3" a="1"/>
  <c r="H19" i="3"/>
  <c r="M20" i="3" a="1"/>
  <c r="H20" i="3"/>
  <c r="M21" i="3" a="1"/>
  <c r="H21" i="3"/>
  <c r="M22" i="3" a="1"/>
  <c r="H22" i="3"/>
  <c r="M23" i="3" a="1"/>
  <c r="H23" i="3"/>
  <c r="M24" i="3" a="1"/>
  <c r="H24" i="3"/>
  <c r="M25" i="3" a="1"/>
  <c r="H25" i="3"/>
  <c r="M26" i="3" a="1"/>
  <c r="H26" i="3"/>
  <c r="M27" i="3" a="1"/>
  <c r="H27" i="3"/>
  <c r="M28" i="3" a="1"/>
  <c r="H28" i="3"/>
  <c r="C17" i="2"/>
  <c r="D17" i="2"/>
  <c r="E17" i="2"/>
  <c r="F17" i="2"/>
  <c r="G17" i="2"/>
  <c r="G18" i="2"/>
  <c r="G19" i="2"/>
  <c r="G20" i="2"/>
  <c r="L4" i="2"/>
  <c r="K6" i="3" a="1"/>
  <c r="F6" i="3"/>
  <c r="G15" i="2"/>
  <c r="J34" i="2"/>
  <c r="L34" i="2"/>
  <c r="O34" i="2"/>
  <c r="G34" i="2"/>
  <c r="L15" i="2"/>
  <c r="K7" i="3" a="1"/>
  <c r="F7" i="3"/>
  <c r="I7" i="3"/>
  <c r="K8" i="3" a="1"/>
  <c r="F8" i="3"/>
  <c r="I8" i="3"/>
  <c r="K9" i="3" a="1"/>
  <c r="F9" i="3"/>
  <c r="I9" i="3"/>
  <c r="F10" i="3"/>
  <c r="I10" i="3"/>
  <c r="F11" i="3"/>
  <c r="I11" i="3"/>
  <c r="K12" i="3" a="1"/>
  <c r="F12" i="3"/>
  <c r="I12" i="3"/>
  <c r="K13" i="3" a="1"/>
  <c r="F13" i="3"/>
  <c r="I13" i="3"/>
  <c r="K14" i="3" a="1"/>
  <c r="F14" i="3"/>
  <c r="I14" i="3"/>
  <c r="K15" i="3" a="1"/>
  <c r="F15" i="3"/>
  <c r="I15" i="3"/>
  <c r="K16" i="3" a="1"/>
  <c r="F16" i="3"/>
  <c r="I16" i="3"/>
  <c r="K17" i="3" a="1"/>
  <c r="F17" i="3"/>
  <c r="I17" i="3"/>
  <c r="K18" i="3" a="1"/>
  <c r="F18" i="3"/>
  <c r="I18" i="3"/>
  <c r="K19" i="3" a="1"/>
  <c r="F19" i="3"/>
  <c r="I19" i="3"/>
  <c r="K20" i="3" a="1"/>
  <c r="F20" i="3"/>
  <c r="I20" i="3"/>
  <c r="K21" i="3" a="1"/>
  <c r="F21" i="3"/>
  <c r="I21" i="3"/>
  <c r="K22" i="3" a="1"/>
  <c r="F22" i="3"/>
  <c r="I22" i="3"/>
  <c r="K23" i="3" a="1"/>
  <c r="F23" i="3"/>
  <c r="I23" i="3"/>
  <c r="K24" i="3" a="1"/>
  <c r="F24" i="3"/>
  <c r="I24" i="3"/>
  <c r="K25" i="3" a="1"/>
  <c r="F25" i="3"/>
  <c r="I25" i="3"/>
  <c r="K26" i="3" a="1"/>
  <c r="F26" i="3"/>
  <c r="I26" i="3"/>
  <c r="K27" i="3" a="1"/>
  <c r="F27" i="3"/>
  <c r="I27" i="3"/>
  <c r="K28" i="3" a="1"/>
  <c r="F28" i="3"/>
  <c r="I28" i="3"/>
  <c r="I5" i="3"/>
  <c r="L17" i="2"/>
  <c r="C9" i="2"/>
  <c r="D9" i="2"/>
  <c r="E9" i="2"/>
  <c r="F9" i="2"/>
  <c r="G9" i="2"/>
  <c r="G22" i="2"/>
  <c r="L7" i="2"/>
  <c r="L19" i="7"/>
  <c r="L24" i="7"/>
  <c r="G29" i="2"/>
  <c r="L11" i="2"/>
  <c r="F11" i="2"/>
  <c r="C11" i="2"/>
  <c r="D11" i="2"/>
  <c r="E11" i="2"/>
  <c r="G11" i="2"/>
  <c r="L3" i="2"/>
  <c r="L30" i="7"/>
  <c r="L29" i="7"/>
  <c r="L28" i="7"/>
  <c r="L27" i="7"/>
  <c r="L26" i="7"/>
  <c r="L25" i="7"/>
  <c r="L23" i="7"/>
  <c r="L22" i="7"/>
  <c r="L21" i="7"/>
  <c r="L20" i="7"/>
  <c r="G25" i="7" a="1"/>
  <c r="L18" i="7"/>
  <c r="L17" i="7"/>
  <c r="E16" i="7"/>
  <c r="E17" i="7"/>
  <c r="E18" i="7"/>
  <c r="E19" i="7"/>
  <c r="E20" i="7"/>
  <c r="E21" i="7"/>
  <c r="E22" i="7"/>
  <c r="E23" i="7"/>
  <c r="E24" i="7"/>
  <c r="E25" i="7"/>
  <c r="L16" i="7"/>
  <c r="G7" i="2"/>
  <c r="C4" i="7"/>
  <c r="L5" i="7"/>
  <c r="L15" i="7"/>
  <c r="L14" i="7"/>
  <c r="L13" i="7"/>
  <c r="L12" i="7"/>
  <c r="L11" i="7"/>
  <c r="L10" i="7"/>
  <c r="L9" i="7"/>
  <c r="L8" i="7"/>
  <c r="L7" i="7"/>
  <c r="L6" i="7"/>
  <c r="L4" i="7"/>
  <c r="L3" i="7"/>
  <c r="G36" i="2"/>
  <c r="L6" i="2"/>
  <c r="G35" i="2" a="1"/>
  <c r="L16" i="2"/>
  <c r="G8" i="2"/>
  <c r="G33" i="2"/>
  <c r="L14" i="2"/>
  <c r="G32" i="2" a="1"/>
  <c r="L13" i="2"/>
  <c r="G30" i="2"/>
  <c r="L12" i="2"/>
  <c r="G26" i="2"/>
  <c r="G27" i="2"/>
  <c r="G28" i="2"/>
  <c r="L10" i="2"/>
  <c r="G25" i="2"/>
  <c r="L9" i="2"/>
  <c r="G24" i="2"/>
  <c r="L8" i="2"/>
  <c r="F13" i="2"/>
  <c r="C13" i="2"/>
  <c r="D13" i="2"/>
  <c r="E13" i="2"/>
  <c r="G13" i="2"/>
  <c r="L5" i="2"/>
  <c r="G6" i="2"/>
  <c r="G16" i="2"/>
  <c r="G10" i="2"/>
  <c r="G23" i="2"/>
  <c r="G12" i="2"/>
  <c r="N16" i="1"/>
  <c r="N17" i="1"/>
  <c r="N18" i="1"/>
  <c r="N19" i="1"/>
  <c r="N20" i="1"/>
  <c r="N21" i="1"/>
  <c r="N22" i="1"/>
  <c r="N23" i="1"/>
  <c r="N24" i="1"/>
  <c r="N25" i="1"/>
  <c r="N26" i="1"/>
  <c r="N27" i="1"/>
  <c r="N28" i="1"/>
  <c r="N29" i="1"/>
  <c r="N2" i="1"/>
  <c r="D6" i="1"/>
  <c r="D7" i="1"/>
  <c r="A3" i="1"/>
  <c r="C4" i="1"/>
  <c r="C5" i="1"/>
  <c r="I6" i="3"/>
  <c r="I2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<sst xmlns="http://schemas.openxmlformats.org/spreadsheetml/2006/main" count="614" uniqueCount="323">
  <si>
    <t>御　見　積　書</t>
  </si>
  <si>
    <t>住所：</t>
  </si>
  <si>
    <t>Renovation Shop りほむる</t>
  </si>
  <si>
    <t>件名：</t>
  </si>
  <si>
    <t>神奈川県知事 許可（般- 6）第 92760 号</t>
  </si>
  <si>
    <t>有効期限：</t>
  </si>
  <si>
    <t>代表　藤原　祐二</t>
  </si>
  <si>
    <t>神奈川県川崎市多摩区南生田５－２－５１F２</t>
  </si>
  <si>
    <t>FAX ０４４-４００-０５７１</t>
  </si>
  <si>
    <t>合計金額</t>
  </si>
  <si>
    <t>（税込</t>
  </si>
  <si>
    <t>)</t>
  </si>
  <si>
    <t>名称</t>
  </si>
  <si>
    <t>工事名</t>
  </si>
  <si>
    <t>数量</t>
  </si>
  <si>
    <t>単位</t>
  </si>
  <si>
    <t>単価</t>
  </si>
  <si>
    <t>金額</t>
  </si>
  <si>
    <t>小計</t>
  </si>
  <si>
    <t>消費税</t>
  </si>
  <si>
    <t>合計</t>
  </si>
  <si>
    <t>住所</t>
  </si>
  <si>
    <t>外壁高さ(m)</t>
  </si>
  <si>
    <t>屋根面積(㎡)</t>
  </si>
  <si>
    <t>仕様</t>
  </si>
  <si>
    <t xml:space="preserve">クライアント名 </t>
    <phoneticPr fontId="12"/>
  </si>
  <si>
    <t>概算工期</t>
    <rPh sb="0" eb="2">
      <t>ガイサン</t>
    </rPh>
    <rPh sb="2" eb="4">
      <t>コウキ</t>
    </rPh>
    <phoneticPr fontId="12"/>
  </si>
  <si>
    <t>ヵ月</t>
    <rPh sb="1" eb="2">
      <t>ゲツ</t>
    </rPh>
    <phoneticPr fontId="12"/>
  </si>
  <si>
    <t>工事期間：</t>
    <phoneticPr fontId="12"/>
  </si>
  <si>
    <t>本工事は天候および材料納期等の影響により、工期・工程に変更が生じる場合があります。</t>
    <rPh sb="0" eb="3">
      <t>ホンコウジ</t>
    </rPh>
    <rPh sb="4" eb="6">
      <t>テンコウ</t>
    </rPh>
    <rPh sb="9" eb="11">
      <t>ザイリョウ</t>
    </rPh>
    <rPh sb="11" eb="13">
      <t>ノウキ</t>
    </rPh>
    <rPh sb="13" eb="14">
      <t>トウ</t>
    </rPh>
    <rPh sb="15" eb="17">
      <t>エイキョウ</t>
    </rPh>
    <rPh sb="21" eb="23">
      <t>コウキ</t>
    </rPh>
    <rPh sb="24" eb="26">
      <t>コウテイ</t>
    </rPh>
    <rPh sb="27" eb="29">
      <t>ヘンコウ</t>
    </rPh>
    <rPh sb="30" eb="31">
      <t>ショウ</t>
    </rPh>
    <rPh sb="33" eb="35">
      <t>バアイ</t>
    </rPh>
    <phoneticPr fontId="12"/>
  </si>
  <si>
    <t>単価</t>
    <rPh sb="0" eb="2">
      <t>タンカ</t>
    </rPh>
    <phoneticPr fontId="12"/>
  </si>
  <si>
    <t>内訳明細書</t>
    <rPh sb="0" eb="2">
      <t>ウチワケ</t>
    </rPh>
    <phoneticPr fontId="12"/>
  </si>
  <si>
    <t>外壁外周(m)</t>
    <phoneticPr fontId="12"/>
  </si>
  <si>
    <t>東面</t>
    <rPh sb="0" eb="2">
      <t>ヒガシメン</t>
    </rPh>
    <phoneticPr fontId="12"/>
  </si>
  <si>
    <t>西面</t>
    <rPh sb="0" eb="2">
      <t>ニシメン</t>
    </rPh>
    <phoneticPr fontId="12"/>
  </si>
  <si>
    <t>南面</t>
    <rPh sb="0" eb="2">
      <t>ミナミメン</t>
    </rPh>
    <phoneticPr fontId="12"/>
  </si>
  <si>
    <t>北面</t>
    <rPh sb="0" eb="2">
      <t>キタメン</t>
    </rPh>
    <phoneticPr fontId="12"/>
  </si>
  <si>
    <t>ｍ</t>
    <phoneticPr fontId="12"/>
  </si>
  <si>
    <t>m</t>
    <phoneticPr fontId="12"/>
  </si>
  <si>
    <t>%</t>
    <phoneticPr fontId="12"/>
  </si>
  <si>
    <t>合計　又は（平均）</t>
    <rPh sb="0" eb="2">
      <t>ゴウケイ</t>
    </rPh>
    <rPh sb="3" eb="4">
      <t>マタ</t>
    </rPh>
    <rPh sb="6" eb="8">
      <t>ヘイキン</t>
    </rPh>
    <phoneticPr fontId="12"/>
  </si>
  <si>
    <t>外壁総面積(㎡)</t>
    <rPh sb="2" eb="3">
      <t>ソウ</t>
    </rPh>
    <phoneticPr fontId="12"/>
  </si>
  <si>
    <t>㎡</t>
    <phoneticPr fontId="12"/>
  </si>
  <si>
    <t>外装総面積(㎡)</t>
    <rPh sb="0" eb="2">
      <t>ガイソウ</t>
    </rPh>
    <rPh sb="2" eb="3">
      <t>ソウ</t>
    </rPh>
    <rPh sb="3" eb="5">
      <t>メンセキ</t>
    </rPh>
    <phoneticPr fontId="12"/>
  </si>
  <si>
    <t>控除割合（開口等）</t>
    <rPh sb="0" eb="2">
      <t>コウジョ</t>
    </rPh>
    <rPh sb="5" eb="8">
      <t>カイコウトウ</t>
    </rPh>
    <phoneticPr fontId="12"/>
  </si>
  <si>
    <t>控除後外壁面積(㎡)</t>
    <rPh sb="0" eb="3">
      <t>コウジョゴ</t>
    </rPh>
    <rPh sb="3" eb="5">
      <t>ガイヘキ</t>
    </rPh>
    <phoneticPr fontId="12"/>
  </si>
  <si>
    <t>軒先外周(m)</t>
    <rPh sb="0" eb="2">
      <t>ノキサキ</t>
    </rPh>
    <rPh sb="2" eb="4">
      <t>ガイシュウ</t>
    </rPh>
    <phoneticPr fontId="12"/>
  </si>
  <si>
    <t>控除後屋根面積(㎡)</t>
    <rPh sb="0" eb="3">
      <t>コウジョゴ</t>
    </rPh>
    <rPh sb="3" eb="5">
      <t>ヤネ</t>
    </rPh>
    <rPh sb="5" eb="7">
      <t>メンセキ</t>
    </rPh>
    <phoneticPr fontId="12"/>
  </si>
  <si>
    <t>勾配度数(°)</t>
    <rPh sb="0" eb="2">
      <t>コウバイ</t>
    </rPh>
    <rPh sb="2" eb="4">
      <t>ドスウ</t>
    </rPh>
    <phoneticPr fontId="12"/>
  </si>
  <si>
    <t>勾配率（寸）</t>
    <rPh sb="0" eb="2">
      <t>コウバイ</t>
    </rPh>
    <rPh sb="2" eb="3">
      <t>リツ</t>
    </rPh>
    <rPh sb="4" eb="5">
      <t>スン</t>
    </rPh>
    <phoneticPr fontId="12"/>
  </si>
  <si>
    <t>寸</t>
    <rPh sb="0" eb="1">
      <t>スン</t>
    </rPh>
    <phoneticPr fontId="12"/>
  </si>
  <si>
    <t>°</t>
    <phoneticPr fontId="12"/>
  </si>
  <si>
    <t>-</t>
    <phoneticPr fontId="12"/>
  </si>
  <si>
    <t>控除後外装総面積(㎡)</t>
    <rPh sb="0" eb="3">
      <t>コウジョゴ</t>
    </rPh>
    <phoneticPr fontId="12"/>
  </si>
  <si>
    <t>付帯部</t>
    <rPh sb="0" eb="3">
      <t>フタイブ</t>
    </rPh>
    <phoneticPr fontId="12"/>
  </si>
  <si>
    <t>調整量</t>
    <rPh sb="0" eb="2">
      <t>チョウセイ</t>
    </rPh>
    <rPh sb="2" eb="3">
      <t>リョウ</t>
    </rPh>
    <phoneticPr fontId="12"/>
  </si>
  <si>
    <t>数量</t>
    <rPh sb="0" eb="2">
      <t>スウリョウ</t>
    </rPh>
    <phoneticPr fontId="12"/>
  </si>
  <si>
    <t>本</t>
    <rPh sb="0" eb="1">
      <t>ホン</t>
    </rPh>
    <phoneticPr fontId="12"/>
  </si>
  <si>
    <t>軒樋(m)</t>
    <rPh sb="0" eb="2">
      <t>ノキトイ</t>
    </rPh>
    <phoneticPr fontId="12"/>
  </si>
  <si>
    <t>本数</t>
    <rPh sb="0" eb="2">
      <t>ホンスウ</t>
    </rPh>
    <phoneticPr fontId="12"/>
  </si>
  <si>
    <t>竪樋(m)</t>
    <rPh sb="0" eb="2">
      <t>タテトイ</t>
    </rPh>
    <phoneticPr fontId="12"/>
  </si>
  <si>
    <t>破風(m)</t>
    <rPh sb="0" eb="2">
      <t>ハフ</t>
    </rPh>
    <phoneticPr fontId="12"/>
  </si>
  <si>
    <t>板間目地　縦（ｍ）</t>
    <rPh sb="0" eb="1">
      <t>イタ</t>
    </rPh>
    <rPh sb="1" eb="2">
      <t>カン</t>
    </rPh>
    <rPh sb="2" eb="4">
      <t>メジ</t>
    </rPh>
    <rPh sb="5" eb="6">
      <t>タテ</t>
    </rPh>
    <phoneticPr fontId="12"/>
  </si>
  <si>
    <t>板間目地　横（ｍ）</t>
    <rPh sb="0" eb="1">
      <t>イタ</t>
    </rPh>
    <rPh sb="1" eb="2">
      <t>カン</t>
    </rPh>
    <rPh sb="2" eb="4">
      <t>メジ</t>
    </rPh>
    <rPh sb="5" eb="6">
      <t>ヨコ</t>
    </rPh>
    <phoneticPr fontId="12"/>
  </si>
  <si>
    <t>ｻｯｼ廻りｼｰﾙ大（ｍ）</t>
    <rPh sb="3" eb="4">
      <t>マワ</t>
    </rPh>
    <rPh sb="8" eb="9">
      <t>ダイ</t>
    </rPh>
    <phoneticPr fontId="12"/>
  </si>
  <si>
    <t>ｻｯｼ廻りｼｰﾙ中（ｍ）</t>
    <rPh sb="3" eb="4">
      <t>マワ</t>
    </rPh>
    <rPh sb="8" eb="9">
      <t>チュウ</t>
    </rPh>
    <phoneticPr fontId="12"/>
  </si>
  <si>
    <t>ｻｯｼ廻りｼｰﾙ小（ｍ）</t>
    <rPh sb="3" eb="4">
      <t>マワ</t>
    </rPh>
    <rPh sb="8" eb="9">
      <t>ショウ</t>
    </rPh>
    <phoneticPr fontId="12"/>
  </si>
  <si>
    <t>長辺</t>
    <rPh sb="0" eb="2">
      <t>チョウヘン</t>
    </rPh>
    <phoneticPr fontId="12"/>
  </si>
  <si>
    <t>短辺</t>
    <rPh sb="0" eb="2">
      <t>タンペン</t>
    </rPh>
    <phoneticPr fontId="12"/>
  </si>
  <si>
    <t>ﾊﾞﾙｺﾆｰ面積（ｍ）</t>
    <rPh sb="6" eb="8">
      <t>メンセキ</t>
    </rPh>
    <phoneticPr fontId="12"/>
  </si>
  <si>
    <t>足場面積</t>
    <rPh sb="0" eb="2">
      <t>アシバ</t>
    </rPh>
    <rPh sb="2" eb="4">
      <t>メンセキ</t>
    </rPh>
    <phoneticPr fontId="12"/>
  </si>
  <si>
    <t>軒先長さ</t>
    <rPh sb="0" eb="1">
      <t>ノキ</t>
    </rPh>
    <rPh sb="1" eb="2">
      <t>サキ</t>
    </rPh>
    <rPh sb="2" eb="3">
      <t>ナガ</t>
    </rPh>
    <phoneticPr fontId="12"/>
  </si>
  <si>
    <t>ｼｬｯﾀｰﾎﾞｯｸｽ</t>
    <phoneticPr fontId="12"/>
  </si>
  <si>
    <t>笠木</t>
    <rPh sb="0" eb="2">
      <t>カサギ</t>
    </rPh>
    <phoneticPr fontId="12"/>
  </si>
  <si>
    <t>基礎高さ(m)</t>
    <rPh sb="0" eb="2">
      <t>キソ</t>
    </rPh>
    <phoneticPr fontId="12"/>
  </si>
  <si>
    <t>基礎面積(㎡)</t>
    <rPh sb="0" eb="2">
      <t>キソ</t>
    </rPh>
    <rPh sb="2" eb="4">
      <t>メンセキ</t>
    </rPh>
    <phoneticPr fontId="12"/>
  </si>
  <si>
    <t>手摺</t>
    <rPh sb="0" eb="2">
      <t>テスリ</t>
    </rPh>
    <phoneticPr fontId="12"/>
  </si>
  <si>
    <t>配管</t>
    <rPh sb="0" eb="2">
      <t>ハイカン</t>
    </rPh>
    <phoneticPr fontId="12"/>
  </si>
  <si>
    <t>予備欄</t>
    <rPh sb="0" eb="2">
      <t>ヨビ</t>
    </rPh>
    <rPh sb="2" eb="3">
      <t>ラン</t>
    </rPh>
    <phoneticPr fontId="12"/>
  </si>
  <si>
    <t>庇</t>
    <rPh sb="0" eb="1">
      <t>ヒサシ</t>
    </rPh>
    <phoneticPr fontId="12"/>
  </si>
  <si>
    <t>付帯数量</t>
    <rPh sb="0" eb="2">
      <t>フタイ</t>
    </rPh>
    <rPh sb="2" eb="4">
      <t>スウリョウ</t>
    </rPh>
    <phoneticPr fontId="12"/>
  </si>
  <si>
    <t>水切り</t>
    <phoneticPr fontId="12"/>
  </si>
  <si>
    <t>幕板(m)</t>
    <rPh sb="0" eb="2">
      <t>マクイタ</t>
    </rPh>
    <phoneticPr fontId="12"/>
  </si>
  <si>
    <t>ﾊﾟｰﾃｰｼｮﾝ</t>
    <phoneticPr fontId="12"/>
  </si>
  <si>
    <t>ｳｪｻﾞｰｶﾊﾞｰ中</t>
    <rPh sb="9" eb="10">
      <t>チュウ</t>
    </rPh>
    <phoneticPr fontId="12"/>
  </si>
  <si>
    <t>予備欄</t>
    <rPh sb="0" eb="3">
      <t>ヨビラン</t>
    </rPh>
    <phoneticPr fontId="12"/>
  </si>
  <si>
    <t>設備架台</t>
    <rPh sb="0" eb="4">
      <t>セツビガダイ</t>
    </rPh>
    <phoneticPr fontId="12"/>
  </si>
  <si>
    <t>備考欄</t>
    <rPh sb="0" eb="2">
      <t>ビコウ</t>
    </rPh>
    <rPh sb="2" eb="3">
      <t>ラン</t>
    </rPh>
    <phoneticPr fontId="12"/>
  </si>
  <si>
    <t>構造</t>
    <rPh sb="0" eb="2">
      <t>コウゾウ</t>
    </rPh>
    <phoneticPr fontId="12"/>
  </si>
  <si>
    <t>軒面積(㎡)</t>
    <rPh sb="0" eb="3">
      <t>ノキメンセキ</t>
    </rPh>
    <phoneticPr fontId="12"/>
  </si>
  <si>
    <t>幅</t>
    <rPh sb="0" eb="1">
      <t>ハバ</t>
    </rPh>
    <phoneticPr fontId="12"/>
  </si>
  <si>
    <t>長さ</t>
    <rPh sb="0" eb="1">
      <t>ナガ</t>
    </rPh>
    <phoneticPr fontId="12"/>
  </si>
  <si>
    <t>面積</t>
    <rPh sb="0" eb="2">
      <t>メンセキ</t>
    </rPh>
    <phoneticPr fontId="12"/>
  </si>
  <si>
    <t>共用部</t>
    <rPh sb="0" eb="3">
      <t>キョウヨウブ</t>
    </rPh>
    <phoneticPr fontId="12"/>
  </si>
  <si>
    <t>1F廊下（㎡）</t>
    <rPh sb="2" eb="4">
      <t>ロウカ</t>
    </rPh>
    <phoneticPr fontId="12"/>
  </si>
  <si>
    <t>2F廊下（㎡）</t>
    <rPh sb="2" eb="4">
      <t>ロウカ</t>
    </rPh>
    <phoneticPr fontId="12"/>
  </si>
  <si>
    <t>3F廊下（㎡）</t>
    <rPh sb="2" eb="4">
      <t>ロウカ</t>
    </rPh>
    <phoneticPr fontId="12"/>
  </si>
  <si>
    <t>4F廊下（㎡）</t>
    <rPh sb="2" eb="4">
      <t>ロウカ</t>
    </rPh>
    <phoneticPr fontId="12"/>
  </si>
  <si>
    <t>5F廊下（㎡）</t>
    <rPh sb="2" eb="4">
      <t>ロウカ</t>
    </rPh>
    <phoneticPr fontId="12"/>
  </si>
  <si>
    <t>6F廊下（㎡）</t>
    <rPh sb="2" eb="4">
      <t>ロウカ</t>
    </rPh>
    <phoneticPr fontId="12"/>
  </si>
  <si>
    <t>7F廊下（㎡）</t>
    <rPh sb="2" eb="4">
      <t>ロウカ</t>
    </rPh>
    <phoneticPr fontId="12"/>
  </si>
  <si>
    <t>8F廊下（㎡）</t>
    <rPh sb="2" eb="4">
      <t>ロウカ</t>
    </rPh>
    <phoneticPr fontId="12"/>
  </si>
  <si>
    <t>9F廊下（㎡）</t>
    <rPh sb="2" eb="4">
      <t>ロウカ</t>
    </rPh>
    <phoneticPr fontId="12"/>
  </si>
  <si>
    <t>10F廊下（㎡）</t>
    <rPh sb="3" eb="5">
      <t>ロウカ</t>
    </rPh>
    <phoneticPr fontId="12"/>
  </si>
  <si>
    <t>1F-2F</t>
    <phoneticPr fontId="12"/>
  </si>
  <si>
    <t>1F-3F</t>
  </si>
  <si>
    <t>1F-4F</t>
  </si>
  <si>
    <t>1F-5F</t>
  </si>
  <si>
    <t>1F-6F</t>
  </si>
  <si>
    <t>1F-7F</t>
  </si>
  <si>
    <t>1F-8F</t>
  </si>
  <si>
    <t>1F-9F</t>
  </si>
  <si>
    <t>1F-10F</t>
  </si>
  <si>
    <t>段数</t>
    <rPh sb="0" eb="2">
      <t>ダンスウ</t>
    </rPh>
    <phoneticPr fontId="12"/>
  </si>
  <si>
    <t>踏面+蹴上</t>
    <rPh sb="0" eb="2">
      <t>フミヅラ</t>
    </rPh>
    <rPh sb="3" eb="5">
      <t>ケアゲ</t>
    </rPh>
    <phoneticPr fontId="12"/>
  </si>
  <si>
    <t>端部長さ</t>
    <rPh sb="0" eb="2">
      <t>タンブ</t>
    </rPh>
    <rPh sb="2" eb="3">
      <t>ナガ</t>
    </rPh>
    <phoneticPr fontId="12"/>
  </si>
  <si>
    <t>鉄部</t>
    <rPh sb="0" eb="2">
      <t>テツブ</t>
    </rPh>
    <phoneticPr fontId="12"/>
  </si>
  <si>
    <t>面台</t>
    <rPh sb="0" eb="2">
      <t>メンダイ</t>
    </rPh>
    <phoneticPr fontId="12"/>
  </si>
  <si>
    <t>設備収納庫大</t>
    <phoneticPr fontId="12"/>
  </si>
  <si>
    <t>設備収納庫中</t>
    <rPh sb="0" eb="2">
      <t>セツビ</t>
    </rPh>
    <rPh sb="2" eb="4">
      <t>シュウノウ</t>
    </rPh>
    <rPh sb="4" eb="5">
      <t>コ</t>
    </rPh>
    <rPh sb="5" eb="6">
      <t>チュウ</t>
    </rPh>
    <phoneticPr fontId="12"/>
  </si>
  <si>
    <t>設備収納庫小</t>
    <rPh sb="0" eb="2">
      <t>セツビ</t>
    </rPh>
    <rPh sb="2" eb="4">
      <t>シュウノウ</t>
    </rPh>
    <rPh sb="4" eb="5">
      <t>コ</t>
    </rPh>
    <rPh sb="5" eb="6">
      <t>ショウ</t>
    </rPh>
    <phoneticPr fontId="12"/>
  </si>
  <si>
    <t>雨戸・戸袋大</t>
    <rPh sb="0" eb="2">
      <t>アマド</t>
    </rPh>
    <rPh sb="3" eb="5">
      <t>トブクロ</t>
    </rPh>
    <rPh sb="5" eb="6">
      <t>ダイ</t>
    </rPh>
    <phoneticPr fontId="12"/>
  </si>
  <si>
    <t>雨戸・戸袋中</t>
    <rPh sb="0" eb="2">
      <t>アマド</t>
    </rPh>
    <rPh sb="3" eb="5">
      <t>トブクロ</t>
    </rPh>
    <rPh sb="5" eb="6">
      <t>チュウ</t>
    </rPh>
    <phoneticPr fontId="12"/>
  </si>
  <si>
    <t>雨戸・戸袋小</t>
    <rPh sb="0" eb="2">
      <t>アマド</t>
    </rPh>
    <rPh sb="3" eb="5">
      <t>トブクロ</t>
    </rPh>
    <rPh sb="5" eb="6">
      <t>ショウトブクロダイ</t>
    </rPh>
    <phoneticPr fontId="12"/>
  </si>
  <si>
    <t>ｳｪｻﾞｰｶﾊﾞｰ大</t>
    <phoneticPr fontId="12"/>
  </si>
  <si>
    <t>枠大</t>
    <rPh sb="0" eb="1">
      <t>ワク</t>
    </rPh>
    <rPh sb="1" eb="2">
      <t>ダイ</t>
    </rPh>
    <phoneticPr fontId="12"/>
  </si>
  <si>
    <t>枠小</t>
    <rPh sb="1" eb="2">
      <t>ショウ</t>
    </rPh>
    <phoneticPr fontId="12"/>
  </si>
  <si>
    <t>枠中</t>
    <rPh sb="0" eb="1">
      <t>ワク</t>
    </rPh>
    <rPh sb="1" eb="2">
      <t>チュウ</t>
    </rPh>
    <phoneticPr fontId="12"/>
  </si>
  <si>
    <t>SD</t>
    <phoneticPr fontId="12"/>
  </si>
  <si>
    <t>ﾍﾞﾝﾄｷｬｯﾌﾟ</t>
    <phoneticPr fontId="12"/>
  </si>
  <si>
    <t>付帯工事</t>
    <rPh sb="0" eb="4">
      <t>フタイコウジ</t>
    </rPh>
    <phoneticPr fontId="12"/>
  </si>
  <si>
    <t>ｸﾗｯｸ補修 W=0.3mm未満</t>
    <rPh sb="4" eb="6">
      <t>ホシュウ</t>
    </rPh>
    <rPh sb="14" eb="16">
      <t>ミマン</t>
    </rPh>
    <phoneticPr fontId="12"/>
  </si>
  <si>
    <t>ｸﾗｯｸ補修 W=0.3mm-1.0mm</t>
    <phoneticPr fontId="12"/>
  </si>
  <si>
    <t>ｸﾗｯｸ補修 構造体部=W0.3mm以上</t>
    <rPh sb="7" eb="11">
      <t>コウゾウタイブ</t>
    </rPh>
    <rPh sb="18" eb="20">
      <t>イジョウ</t>
    </rPh>
    <phoneticPr fontId="12"/>
  </si>
  <si>
    <t>欠損部補修（100×100未満）</t>
    <phoneticPr fontId="12"/>
  </si>
  <si>
    <t>欠損部補修（100×100以上）</t>
    <phoneticPr fontId="12"/>
  </si>
  <si>
    <t>鉄筋爆裂部補修（100×100未満）</t>
    <phoneticPr fontId="12"/>
  </si>
  <si>
    <t>鉄筋爆裂部補修（100×100以上）</t>
    <phoneticPr fontId="12"/>
  </si>
  <si>
    <t>脆弱塗膜剥離段差調整</t>
    <phoneticPr fontId="12"/>
  </si>
  <si>
    <t>脆弱部特別撤去</t>
    <rPh sb="0" eb="3">
      <t>ゼイジャクブ</t>
    </rPh>
    <rPh sb="3" eb="5">
      <t>トクベツ</t>
    </rPh>
    <rPh sb="5" eb="7">
      <t>テッキョ</t>
    </rPh>
    <phoneticPr fontId="12"/>
  </si>
  <si>
    <t>浮き補修（0.25㎡未満）</t>
    <phoneticPr fontId="12"/>
  </si>
  <si>
    <t>浮き補修(0.25㎡超)</t>
    <phoneticPr fontId="12"/>
  </si>
  <si>
    <t>浮き補修(浮きしろ1.0mm超)</t>
    <rPh sb="5" eb="6">
      <t>ウ</t>
    </rPh>
    <rPh sb="14" eb="15">
      <t>チョウ</t>
    </rPh>
    <phoneticPr fontId="12"/>
  </si>
  <si>
    <t>電気工事</t>
    <rPh sb="0" eb="2">
      <t>デンキ</t>
    </rPh>
    <rPh sb="2" eb="4">
      <t>コウジ</t>
    </rPh>
    <phoneticPr fontId="12"/>
  </si>
  <si>
    <t>設備工事</t>
    <rPh sb="0" eb="2">
      <t>セツビ</t>
    </rPh>
    <rPh sb="2" eb="4">
      <t>コウジ</t>
    </rPh>
    <phoneticPr fontId="12"/>
  </si>
  <si>
    <t>その他</t>
    <rPh sb="2" eb="3">
      <t>タ</t>
    </rPh>
    <phoneticPr fontId="12"/>
  </si>
  <si>
    <t>準備費</t>
    <rPh sb="0" eb="3">
      <t>ジュンビヒ</t>
    </rPh>
    <phoneticPr fontId="12"/>
  </si>
  <si>
    <t>仮設費</t>
    <rPh sb="0" eb="3">
      <t>カセツヒ</t>
    </rPh>
    <phoneticPr fontId="12"/>
  </si>
  <si>
    <t>工事施設費</t>
    <rPh sb="0" eb="5">
      <t>コウジシセツヒ</t>
    </rPh>
    <phoneticPr fontId="12"/>
  </si>
  <si>
    <t>環境安全費</t>
    <rPh sb="0" eb="5">
      <t>カンキョウアンゼンヒ</t>
    </rPh>
    <phoneticPr fontId="12"/>
  </si>
  <si>
    <t>機械器具費</t>
    <rPh sb="0" eb="4">
      <t>キカイキグ</t>
    </rPh>
    <rPh sb="4" eb="5">
      <t>ヒ</t>
    </rPh>
    <phoneticPr fontId="12"/>
  </si>
  <si>
    <t>W　S　RC　SRC　他</t>
    <rPh sb="11" eb="12">
      <t>ホカ</t>
    </rPh>
    <phoneticPr fontId="12"/>
  </si>
  <si>
    <t>周囲長</t>
    <rPh sb="0" eb="2">
      <t>シュウイ</t>
    </rPh>
    <rPh sb="2" eb="3">
      <t>ナガ</t>
    </rPh>
    <phoneticPr fontId="12"/>
  </si>
  <si>
    <t>本      D*W</t>
    <rPh sb="0" eb="1">
      <t>ホン</t>
    </rPh>
    <phoneticPr fontId="12"/>
  </si>
  <si>
    <t>キー</t>
    <phoneticPr fontId="12"/>
  </si>
  <si>
    <t>値</t>
    <rPh sb="0" eb="1">
      <t>アタイ</t>
    </rPh>
    <phoneticPr fontId="12"/>
  </si>
  <si>
    <t>外壁</t>
    <rPh sb="0" eb="2">
      <t>ガイヘキ</t>
    </rPh>
    <phoneticPr fontId="12"/>
  </si>
  <si>
    <t>縦目地</t>
    <rPh sb="0" eb="3">
      <t>タテメジ</t>
    </rPh>
    <phoneticPr fontId="12"/>
  </si>
  <si>
    <t>横目地</t>
    <rPh sb="0" eb="3">
      <t>ヨコメジ</t>
    </rPh>
    <phoneticPr fontId="12"/>
  </si>
  <si>
    <t>サッシ廻り</t>
    <rPh sb="3" eb="4">
      <t>マワ</t>
    </rPh>
    <phoneticPr fontId="12"/>
  </si>
  <si>
    <t>竪樋</t>
    <rPh sb="0" eb="2">
      <t>タテトイ</t>
    </rPh>
    <phoneticPr fontId="12"/>
  </si>
  <si>
    <t>破風</t>
    <rPh sb="0" eb="2">
      <t>ハフ</t>
    </rPh>
    <phoneticPr fontId="12"/>
  </si>
  <si>
    <t>幕板</t>
    <rPh sb="0" eb="2">
      <t>マクイタ</t>
    </rPh>
    <phoneticPr fontId="12"/>
  </si>
  <si>
    <t>水切り</t>
    <rPh sb="0" eb="2">
      <t>ミズキ</t>
    </rPh>
    <phoneticPr fontId="12"/>
  </si>
  <si>
    <t>雨戸大</t>
    <rPh sb="0" eb="2">
      <t>アマド</t>
    </rPh>
    <rPh sb="2" eb="3">
      <t>ダイ</t>
    </rPh>
    <phoneticPr fontId="12"/>
  </si>
  <si>
    <t>雨戸中</t>
    <rPh sb="0" eb="2">
      <t>アマド</t>
    </rPh>
    <rPh sb="2" eb="3">
      <t>チュウ</t>
    </rPh>
    <phoneticPr fontId="12"/>
  </si>
  <si>
    <t>雨戸小</t>
    <rPh sb="0" eb="3">
      <t>アマドショウ</t>
    </rPh>
    <phoneticPr fontId="12"/>
  </si>
  <si>
    <t>ｽﾘﾑﾀﾞｸﾄ</t>
    <phoneticPr fontId="12"/>
  </si>
  <si>
    <t>枠小</t>
    <rPh sb="0" eb="2">
      <t>ワクショウ</t>
    </rPh>
    <phoneticPr fontId="12"/>
  </si>
  <si>
    <t>ｸﾗｯｸ小</t>
    <rPh sb="4" eb="5">
      <t>ショウ</t>
    </rPh>
    <phoneticPr fontId="12"/>
  </si>
  <si>
    <t>ｸﾗｯｸ中</t>
    <rPh sb="4" eb="5">
      <t>チュウ</t>
    </rPh>
    <phoneticPr fontId="12"/>
  </si>
  <si>
    <t>ｸﾗｯｸ大</t>
    <rPh sb="4" eb="5">
      <t>ダイ</t>
    </rPh>
    <phoneticPr fontId="12"/>
  </si>
  <si>
    <t>欠損小</t>
    <rPh sb="0" eb="2">
      <t>ケッソン</t>
    </rPh>
    <rPh sb="2" eb="3">
      <t>ショウ</t>
    </rPh>
    <phoneticPr fontId="12"/>
  </si>
  <si>
    <t>欠損大</t>
    <rPh sb="0" eb="2">
      <t>ケッソン</t>
    </rPh>
    <rPh sb="2" eb="3">
      <t>ダイ</t>
    </rPh>
    <phoneticPr fontId="12"/>
  </si>
  <si>
    <t>脆弱</t>
    <rPh sb="0" eb="2">
      <t>ゼイジャク</t>
    </rPh>
    <phoneticPr fontId="12"/>
  </si>
  <si>
    <t>爆裂小</t>
    <rPh sb="0" eb="2">
      <t>バクレツ</t>
    </rPh>
    <rPh sb="2" eb="3">
      <t>ショウ</t>
    </rPh>
    <phoneticPr fontId="12"/>
  </si>
  <si>
    <t>爆裂大</t>
    <rPh sb="0" eb="2">
      <t>バクレツ</t>
    </rPh>
    <rPh sb="2" eb="3">
      <t>ダイ</t>
    </rPh>
    <phoneticPr fontId="12"/>
  </si>
  <si>
    <t>段差調整</t>
    <rPh sb="0" eb="2">
      <t>ダンサ</t>
    </rPh>
    <rPh sb="2" eb="4">
      <t>チョウセイ</t>
    </rPh>
    <phoneticPr fontId="12"/>
  </si>
  <si>
    <t>浮き小</t>
    <rPh sb="0" eb="1">
      <t>ウ</t>
    </rPh>
    <rPh sb="2" eb="3">
      <t>ショウ</t>
    </rPh>
    <phoneticPr fontId="12"/>
  </si>
  <si>
    <t>浮き中</t>
    <rPh sb="0" eb="1">
      <t>ウ</t>
    </rPh>
    <rPh sb="2" eb="3">
      <t>チュウ</t>
    </rPh>
    <phoneticPr fontId="12"/>
  </si>
  <si>
    <t>浮き大</t>
    <rPh sb="0" eb="1">
      <t>ウ</t>
    </rPh>
    <rPh sb="2" eb="3">
      <t>ダイ</t>
    </rPh>
    <phoneticPr fontId="12"/>
  </si>
  <si>
    <t>屋根</t>
    <rPh sb="0" eb="2">
      <t>ヤネ</t>
    </rPh>
    <phoneticPr fontId="12"/>
  </si>
  <si>
    <t>足場</t>
    <phoneticPr fontId="12"/>
  </si>
  <si>
    <t>軒</t>
    <rPh sb="0" eb="1">
      <t>ノキ</t>
    </rPh>
    <phoneticPr fontId="12"/>
  </si>
  <si>
    <t>総面積</t>
    <rPh sb="0" eb="1">
      <t>ソウ</t>
    </rPh>
    <rPh sb="1" eb="3">
      <t>メンセキ</t>
    </rPh>
    <phoneticPr fontId="12"/>
  </si>
  <si>
    <t>基礎</t>
    <rPh sb="0" eb="2">
      <t>キソ</t>
    </rPh>
    <phoneticPr fontId="12"/>
  </si>
  <si>
    <t>廊下</t>
    <rPh sb="0" eb="2">
      <t>ロウカ</t>
    </rPh>
    <phoneticPr fontId="12"/>
  </si>
  <si>
    <t>端末</t>
    <rPh sb="0" eb="2">
      <t>タンマツ</t>
    </rPh>
    <phoneticPr fontId="12"/>
  </si>
  <si>
    <t>横樋</t>
    <rPh sb="0" eb="1">
      <t>ヨコ</t>
    </rPh>
    <rPh sb="1" eb="2">
      <t>トイ</t>
    </rPh>
    <phoneticPr fontId="12"/>
  </si>
  <si>
    <t>ﾊﾞﾙｺﾆｰ</t>
    <phoneticPr fontId="12"/>
  </si>
  <si>
    <t>屋上</t>
    <rPh sb="0" eb="2">
      <t>オクジョウ</t>
    </rPh>
    <phoneticPr fontId="12"/>
  </si>
  <si>
    <t>自動</t>
    <rPh sb="0" eb="2">
      <t>ジドウ</t>
    </rPh>
    <phoneticPr fontId="12"/>
  </si>
  <si>
    <t>手入力</t>
    <rPh sb="0" eb="3">
      <t>テニュウリョク</t>
    </rPh>
    <phoneticPr fontId="12"/>
  </si>
  <si>
    <t>外壁下塗り</t>
    <rPh sb="0" eb="4">
      <t>ガイヘキシタヌ</t>
    </rPh>
    <phoneticPr fontId="12"/>
  </si>
  <si>
    <t>外壁中/上塗り</t>
    <rPh sb="0" eb="2">
      <t>ガイヘキ</t>
    </rPh>
    <rPh sb="2" eb="3">
      <t>チュウ</t>
    </rPh>
    <rPh sb="4" eb="5">
      <t>ウエ</t>
    </rPh>
    <rPh sb="5" eb="6">
      <t>ヌ</t>
    </rPh>
    <phoneticPr fontId="12"/>
  </si>
  <si>
    <t>屋根下塗り</t>
    <rPh sb="0" eb="4">
      <t>ヤネシタヌ</t>
    </rPh>
    <phoneticPr fontId="12"/>
  </si>
  <si>
    <t>屋根中/上塗り</t>
    <rPh sb="0" eb="2">
      <t>ヤネ</t>
    </rPh>
    <phoneticPr fontId="12"/>
  </si>
  <si>
    <t>外部足場組立・解体費</t>
    <rPh sb="0" eb="2">
      <t>ガイブ</t>
    </rPh>
    <rPh sb="2" eb="4">
      <t>アシバ</t>
    </rPh>
    <rPh sb="4" eb="6">
      <t>クミタテ</t>
    </rPh>
    <rPh sb="7" eb="9">
      <t>カイタイ</t>
    </rPh>
    <rPh sb="9" eb="10">
      <t>ヒ</t>
    </rPh>
    <phoneticPr fontId="12"/>
  </si>
  <si>
    <t>足場養生メッシュシート張り</t>
    <rPh sb="0" eb="2">
      <t>アシバ</t>
    </rPh>
    <rPh sb="2" eb="4">
      <t>ヨウジョウ</t>
    </rPh>
    <rPh sb="11" eb="12">
      <t>ハ</t>
    </rPh>
    <phoneticPr fontId="12"/>
  </si>
  <si>
    <t>下地調査費</t>
    <rPh sb="0" eb="2">
      <t>シタジ</t>
    </rPh>
    <rPh sb="2" eb="4">
      <t>チョウサ</t>
    </rPh>
    <rPh sb="4" eb="5">
      <t>ヒ</t>
    </rPh>
    <phoneticPr fontId="12"/>
  </si>
  <si>
    <t>高圧洗浄</t>
    <rPh sb="0" eb="4">
      <t>コウアツセンジョウ</t>
    </rPh>
    <phoneticPr fontId="12"/>
  </si>
  <si>
    <t>軒天下塗り</t>
    <rPh sb="0" eb="1">
      <t>ノキ</t>
    </rPh>
    <rPh sb="1" eb="2">
      <t>テン</t>
    </rPh>
    <rPh sb="2" eb="4">
      <t>シタヌ</t>
    </rPh>
    <phoneticPr fontId="12"/>
  </si>
  <si>
    <t>軒天中/上塗り</t>
    <rPh sb="0" eb="2">
      <t>ノキテン</t>
    </rPh>
    <rPh sb="2" eb="3">
      <t>ナカ</t>
    </rPh>
    <rPh sb="4" eb="6">
      <t>ウエヌ</t>
    </rPh>
    <phoneticPr fontId="12"/>
  </si>
  <si>
    <t>破風下塗り</t>
    <rPh sb="0" eb="2">
      <t>ハフ</t>
    </rPh>
    <rPh sb="2" eb="4">
      <t>シタヌ</t>
    </rPh>
    <phoneticPr fontId="12"/>
  </si>
  <si>
    <t>軒樋下塗り</t>
    <rPh sb="0" eb="2">
      <t>ノキトイ</t>
    </rPh>
    <rPh sb="2" eb="4">
      <t>シタヌ</t>
    </rPh>
    <phoneticPr fontId="12"/>
  </si>
  <si>
    <t>軒樋中/上塗り</t>
    <rPh sb="0" eb="2">
      <t>ノキトイ</t>
    </rPh>
    <rPh sb="2" eb="3">
      <t>ナカ</t>
    </rPh>
    <rPh sb="4" eb="6">
      <t>ウワヌ</t>
    </rPh>
    <phoneticPr fontId="12"/>
  </si>
  <si>
    <t>竪樋下塗り</t>
    <rPh sb="0" eb="2">
      <t>タテトイ</t>
    </rPh>
    <rPh sb="2" eb="4">
      <t>シタヌ</t>
    </rPh>
    <phoneticPr fontId="12"/>
  </si>
  <si>
    <t>竪樋中/上塗り</t>
    <rPh sb="0" eb="2">
      <t>タテトイ</t>
    </rPh>
    <rPh sb="2" eb="3">
      <t>ナカ</t>
    </rPh>
    <rPh sb="4" eb="6">
      <t>ウエヌ</t>
    </rPh>
    <phoneticPr fontId="12"/>
  </si>
  <si>
    <t>破風中塗り/上塗り</t>
    <rPh sb="0" eb="2">
      <t>ハフ</t>
    </rPh>
    <rPh sb="2" eb="4">
      <t>ナカヌ</t>
    </rPh>
    <rPh sb="6" eb="8">
      <t>ウエヌ</t>
    </rPh>
    <phoneticPr fontId="12"/>
  </si>
  <si>
    <t>基礎塗装下塗り</t>
    <rPh sb="0" eb="2">
      <t>キソ</t>
    </rPh>
    <rPh sb="2" eb="4">
      <t>トソウ</t>
    </rPh>
    <rPh sb="4" eb="6">
      <t>シタヌ</t>
    </rPh>
    <phoneticPr fontId="12"/>
  </si>
  <si>
    <t>基礎塗装中/上塗り</t>
    <rPh sb="0" eb="2">
      <t>キソ</t>
    </rPh>
    <rPh sb="2" eb="4">
      <t>トソウ</t>
    </rPh>
    <rPh sb="4" eb="5">
      <t>ナカ</t>
    </rPh>
    <rPh sb="6" eb="8">
      <t>ウエヌ</t>
    </rPh>
    <phoneticPr fontId="12"/>
  </si>
  <si>
    <t>ｼｰﾙ打ち換え</t>
    <rPh sb="3" eb="4">
      <t>ウ</t>
    </rPh>
    <rPh sb="5" eb="6">
      <t>カ</t>
    </rPh>
    <phoneticPr fontId="12"/>
  </si>
  <si>
    <t>ｼｰﾙ増し打ち</t>
    <rPh sb="3" eb="4">
      <t>マ</t>
    </rPh>
    <rPh sb="5" eb="6">
      <t>ウ</t>
    </rPh>
    <phoneticPr fontId="12"/>
  </si>
  <si>
    <t>平場長尺シート貼込</t>
    <rPh sb="0" eb="2">
      <t>ヒラバ</t>
    </rPh>
    <rPh sb="2" eb="4">
      <t>チョウジャク</t>
    </rPh>
    <rPh sb="7" eb="8">
      <t>ハ</t>
    </rPh>
    <rPh sb="8" eb="9">
      <t>コ</t>
    </rPh>
    <phoneticPr fontId="12"/>
  </si>
  <si>
    <t>階段ステップ貼込</t>
    <rPh sb="0" eb="2">
      <t>カイダン</t>
    </rPh>
    <rPh sb="6" eb="7">
      <t>ハ</t>
    </rPh>
    <rPh sb="7" eb="8">
      <t>コ</t>
    </rPh>
    <phoneticPr fontId="12"/>
  </si>
  <si>
    <t>ｼｰﾙ打ち込み</t>
    <rPh sb="3" eb="4">
      <t>ウ</t>
    </rPh>
    <rPh sb="5" eb="6">
      <t>コ</t>
    </rPh>
    <phoneticPr fontId="12"/>
  </si>
  <si>
    <t>平場長尺シート撤去</t>
    <rPh sb="0" eb="2">
      <t>ヒラバ</t>
    </rPh>
    <rPh sb="2" eb="4">
      <t>チョウジャク</t>
    </rPh>
    <rPh sb="7" eb="9">
      <t>テッキョ</t>
    </rPh>
    <phoneticPr fontId="12"/>
  </si>
  <si>
    <t>階段ステップ撤去</t>
    <rPh sb="0" eb="2">
      <t>カイダン</t>
    </rPh>
    <rPh sb="6" eb="8">
      <t>テッキョ</t>
    </rPh>
    <phoneticPr fontId="12"/>
  </si>
  <si>
    <t/>
  </si>
  <si>
    <t>作成日：</t>
    <phoneticPr fontId="12"/>
  </si>
  <si>
    <t>備考欄</t>
    <rPh sb="2" eb="3">
      <t>ラン</t>
    </rPh>
    <phoneticPr fontId="12"/>
  </si>
  <si>
    <r>
      <rPr>
        <b/>
        <sz val="22"/>
        <rFont val="游明朝"/>
        <family val="1"/>
        <charset val="128"/>
      </rPr>
      <t>住宅・店舗改装工事請負契約約款</t>
    </r>
    <r>
      <rPr>
        <b/>
        <sz val="14"/>
        <rFont val="游明朝"/>
        <family val="1"/>
        <charset val="128"/>
      </rPr>
      <t xml:space="preserve">
（総則）
第１条 </t>
    </r>
    <r>
      <rPr>
        <sz val="14"/>
        <rFont val="游明朝"/>
        <family val="1"/>
        <charset val="128"/>
      </rPr>
      <t xml:space="preserve">
注文者と請負者は、日本国の法を遵守し、互いに協力し、信義を守り、この約款に基づき、各々誠実にこの契約を履行する。
</t>
    </r>
    <r>
      <rPr>
        <b/>
        <sz val="14"/>
        <rFont val="游明朝"/>
        <family val="1"/>
        <charset val="128"/>
      </rPr>
      <t>（一括下請負・一括委任の禁止）
第２条</t>
    </r>
    <r>
      <rPr>
        <sz val="14"/>
        <rFont val="游明朝"/>
        <family val="1"/>
        <charset val="128"/>
      </rPr>
      <t xml:space="preserve">
 あらかじめ注文者の書面（電子メール等含む）による承諾を得た場合を除き、請負者は請負者の責任において、工事の全部または大部分を、一括して請負者の指定する者に委任または請負わせることができない。
</t>
    </r>
    <r>
      <rPr>
        <b/>
        <sz val="14"/>
        <rFont val="游明朝"/>
        <family val="1"/>
        <charset val="128"/>
      </rPr>
      <t>（権利・義務などの譲渡の禁止）
第３条</t>
    </r>
    <r>
      <rPr>
        <sz val="14"/>
        <rFont val="游明朝"/>
        <family val="1"/>
        <charset val="128"/>
      </rPr>
      <t xml:space="preserve">
 注文者及び請負者は、相手方からの書面（電子メール等含む）による承諾を得なければ、この契約から生ずる権利または義務を、第三者に譲渡することまたは継承させることはできない。
２ 注文者および請負者は、相手方からの書面（電子メール等含む）による承諾を得なければ、契約の目的物、検査済の工事材料（製造工場などにある製品を含む）・建築設備の機器を第三者に譲渡すること、もしくは貸与すること、または抵当権その他の担保の目的に供することはできない。
</t>
    </r>
    <r>
      <rPr>
        <b/>
        <sz val="14"/>
        <rFont val="游明朝"/>
        <family val="1"/>
        <charset val="128"/>
      </rPr>
      <t>（完了確認・代金支払い）
第４条</t>
    </r>
    <r>
      <rPr>
        <sz val="14"/>
        <rFont val="游明朝"/>
        <family val="1"/>
        <charset val="128"/>
      </rPr>
      <t xml:space="preserve">
工事を終了したときは、注文者と請負者は両者立会いのもと契約の目的物を確認し、注文者は請負契約書記載の期日までに請負代金の支払いを完了する。
</t>
    </r>
    <r>
      <rPr>
        <b/>
        <sz val="14"/>
        <rFont val="游明朝"/>
        <family val="1"/>
        <charset val="128"/>
      </rPr>
      <t xml:space="preserve">（支給材料、貸与品）
第５条 </t>
    </r>
    <r>
      <rPr>
        <sz val="14"/>
        <rFont val="游明朝"/>
        <family val="1"/>
        <charset val="128"/>
      </rPr>
      <t xml:space="preserve">
注文者からの支給材料または貸与品がある場合には、その受渡期日および受渡場所は注文者と請負者の協議の上決める。
２ 請負者は、支給材料または貸与品の受領後すみやかに検収するものとし、不良品については注文者に対し交換を求めることができる。
３ 請負者は支給材料または貸与品を善良な管理者として使用または保管する。
</t>
    </r>
    <r>
      <rPr>
        <b/>
        <sz val="14"/>
        <rFont val="游明朝"/>
        <family val="1"/>
        <charset val="128"/>
      </rPr>
      <t xml:space="preserve">（第三者への損害および第三者との紛議）
第６条 </t>
    </r>
    <r>
      <rPr>
        <sz val="14"/>
        <rFont val="游明朝"/>
        <family val="1"/>
        <charset val="128"/>
      </rPr>
      <t xml:space="preserve">
施工により、第三者に損害を及ぼしたとき、または紛議を生じたときは、注文者と請負者が協力して処理解決にあたる。
２ 前項に要した費用は、請負者の責に帰すべき事由によって生じたものについては、請負者の負担とし、注文者の責に帰すべき事由によって生じたものについては、注文者の負担とする。なお、双方の責に帰すべき事由による場合は協議により負担を定めるものとする。
</t>
    </r>
    <r>
      <rPr>
        <b/>
        <sz val="14"/>
        <rFont val="游明朝"/>
        <family val="1"/>
        <charset val="128"/>
      </rPr>
      <t xml:space="preserve">（不可抗力による損害）
第７条 </t>
    </r>
    <r>
      <rPr>
        <sz val="14"/>
        <rFont val="游明朝"/>
        <family val="1"/>
        <charset val="128"/>
      </rPr>
      <t xml:space="preserve">
天災その他自然的または人為的な事象であって、注文者・請負者いずれにもその責を帰することのできない事由（以下「不可抗力」という）によって、工事済部分、工事仮設物、工事現場に搬入した工事材料・建築設備の機器（有償支給材料を含む）または工事用機器について損害が生じたときは、請負者は、事実発生後速やかにその状況を注文者に通知する。
２ 前項の損害について、注文者・請負者が協議して重大なもの、かつ、請負者が善良な管理者としての注意をしたと認められるものは、注文者がこれを負担する。
３ 火災保険・建設工事保険その他損害をてん補するものがあるときは、それらの額を前項の注文者の負担額から控除する。
</t>
    </r>
    <r>
      <rPr>
        <b/>
        <sz val="14"/>
        <rFont val="游明朝"/>
        <family val="1"/>
        <charset val="128"/>
      </rPr>
      <t>（契約に適合しない場合の担保責任）
第８条</t>
    </r>
    <r>
      <rPr>
        <sz val="14"/>
        <rFont val="游明朝"/>
        <family val="1"/>
        <charset val="128"/>
      </rPr>
      <t xml:space="preserve">
 引き渡された目的物が契約の内容に適合しないものがある場合、請負者は引渡しから２年間民法の定める責任を負う。ただし、建築設備の機器本体、室内仕上げ・装飾、家具、植栽等において契約の内容に適合しない場合は、引渡しから１年とする。
２ 前項の規定にかかわらず、請負者が別段の保証書等を発行している場合には、当該保証書等の定めによるものとする。
３ 前２項の規定にかかわらず、第５条に基づく注文者からの支給材料または貸与品ならびに注文者の指図が原因で目的物の不適合が発生した場合には請負者は責任を負わないものとする。
</t>
    </r>
    <r>
      <rPr>
        <b/>
        <sz val="14"/>
        <rFont val="游明朝"/>
        <family val="1"/>
        <charset val="128"/>
      </rPr>
      <t xml:space="preserve">（打ち合わせに基づく施工が不可能もしくは不適切な場合）
第９条 </t>
    </r>
    <r>
      <rPr>
        <sz val="14"/>
        <rFont val="游明朝"/>
        <family val="1"/>
        <charset val="128"/>
      </rPr>
      <t xml:space="preserve">
施工にあたり、通常の事前調査では予測不可能な状況により、打ち合わせに基づく施工が不可能、もしくは不適切な場合は、注文者と請負者が協議して、実情に適するように内容を変更する。
２ 前項において、工期、請負代金を変更する必要がある場合は、注文者と請負者が第１０条に基づいて協議してこれを決める。
</t>
    </r>
    <r>
      <rPr>
        <sz val="14"/>
        <rFont val="游ゴシック"/>
        <family val="3"/>
        <charset val="128"/>
      </rPr>
      <t xml:space="preserve">
</t>
    </r>
  </si>
  <si>
    <t xml:space="preserve">住宅・店舗改装工事請負契約約款
（総則）
第１条 
注文者と請負者は、日本国の法を遵守し、互いに協力し、信義を守り、この約款に基づき、各々誠実にこの契約を履行する。
（一括下請負・一括委任の禁止）
第２条
 あらかじめ注文者の書面（電子メール等含む）による承諾を得た場合を除き、請負者は請負者の責任において、工事の全部または大部分を、一括して請負者の指定する者に委任または請負わせることができない。
（権利・義務などの譲渡の禁止）
第３条
 注文者及び請負者は、相手方からの書面（電子メール等含む）による承諾を得なければ、この契約から生ずる権利または義務を、第三者に譲渡することまたは継承させることはできない。
２ 注文者および請負者は、相手方からの書面（電子メール等含む）による承諾を得なければ、契約の目的物、検査済の工事材料（製造工場などにある製品を含む）・建築設備の機器を第三者に譲渡すること、もしくは貸与すること、または抵当権その他の担保の目的に供することはできない。
（完了確認・代金支払い）
第４条
工事を終了したときは、注文者と請負者は両者立会いのもと契約の目的物を確認し、注文者は請負契約書記載の期日までに請負代金の支払いを完了する。
（支給材料、貸与品）
第５条 
注文者からの支給材料または貸与品がある場合には、その受渡期日および受渡場所は注文者と請負者の協議の上決める。
２ 請負者は、支給材料または貸与品の受領後すみやかに検収するものとし、不良品については注文者に対し交換を求めることができる。
３ 請負者は支給材料または貸与品を善良な管理者として使用または保管する。
（第三者への損害および第三者との紛議）
第６条 
施工により、第三者に損害を及ぼしたとき、または紛議を生じたときは、注文者と請負者が協力して処理解決にあたる。
２ 前項に要した費用は、請負者の責に帰すべき事由によって生じたものについては、請負者の負担とし、注文者の責に帰すべき事由によって生じたものについては、注文者の負担とする。なお、双方の責に帰すべき事由による場合は協議により負担を定めるものとする。
（不可抗力による損害）
第７条 
天災その他自然的または人為的な事象であって、注文者・請負者いずれにもその責を帰することのできない事由（以下「不可抗力」という）によって、工事済部分、工事仮設物、工事現場に搬入した工事材料・建築設備の機器（有償支給材料を含む）または工事用機器について損害が生じたときは、請負者は、事実発生後速やかにその状況を注文者に通知する。
２ 前項の損害について、注文者・請負者が協議して重大なもの、かつ、請負者が善良な管理者としての注意をしたと認められるものは、注文者がこれを負担する。
３ 火災保険・建設工事保険その他損害をてん補するものがあるときは、それらの額を前項の注文者の負担額から控除する。
（契約に適合しない場合の担保責任）
第８条
 引き渡された目的物が契約の内容に適合しないものがある場合、請負者は引渡しから２年間民法の定める責任を負う。ただし、建築設備の機器本体、室内仕上げ・装飾、家具、植栽等において契約の内容に適合しない場合は、引渡しから１年とする。
２ 前項の規定にかかわらず、請負者が別段の保証書等を発行している場合には、当該保証書等の定めによるものとする。
３ 前２項の規定にかかわらず、第５条に基づく注文者からの支給材料または貸与品ならびに注文者の指図が原因で目的物の不適合が発生した場合には請負者は責任を負わないものとする。
（打ち合わせに基づく施工が不可能もしくは不適切な場合）
第９条 
施工にあたり、通常の事前調査では予測不可能な状況により、打ち合わせに基づく施工が不可能、もしくは不適切な場合は、注文者と請負者が協議して、実情に適するように内容を変更する。
２ 前項において、工期、請負代金を変更する必要がある場合は、注文者と請負者が第１０条に基づいて協議してこれを決める。
</t>
    <phoneticPr fontId="12"/>
  </si>
  <si>
    <r>
      <rPr>
        <b/>
        <sz val="14"/>
        <rFont val="游明朝"/>
        <family val="1"/>
        <charset val="128"/>
      </rPr>
      <t xml:space="preserve">
（反社会的勢力からの排除）
第１６条 </t>
    </r>
    <r>
      <rPr>
        <sz val="14"/>
        <rFont val="游明朝"/>
        <family val="1"/>
        <charset val="128"/>
      </rPr>
      <t xml:space="preserve">
注文者と請負者は、相手方に次の各号の一にあたるときは、何らの催告をなくして書面をもってこの契約を解除することができる。
一 役員等（当事者が個人である場合にはその者を、当事者が法人である場合にはその役員またはその支店もしくは常時建設工事の請負契約を締結する事務所の代表者をいう。以下この項において同じ。）が暴力団員による不当な行為の防止等に関する法律第二条第六号に規定する暴力団員（以下この項において「暴力団員」という。）であると認められるとき。
二 暴力団（暴力団員による不当な行為の防止等に関する法律第二条第二号に規定する暴力団をいう。以下この項において同じ。）または暴力団員が経営に実質的に関与していると認められるとき。
三 役員等が暴力団または暴力団員と社会的に非難されるべき関係を有していると認められるとき。
２ この場合、解除した者は相手方に対して損害の賠償を請求することができ、解除された者は損害の賠償を請求することができない。
</t>
    </r>
    <r>
      <rPr>
        <b/>
        <sz val="14"/>
        <rFont val="游明朝"/>
        <family val="1"/>
        <charset val="128"/>
      </rPr>
      <t xml:space="preserve">（紛争の解決）
第１７条 </t>
    </r>
    <r>
      <rPr>
        <sz val="14"/>
        <rFont val="游明朝"/>
        <family val="1"/>
        <charset val="128"/>
      </rPr>
      <t xml:space="preserve">
この契約について、紛争が生じたときは、本物件の所在地の裁判所を第一審管轄裁判所とし、または裁判外の紛争処理機関によって、その解決を図るものとする。
</t>
    </r>
    <r>
      <rPr>
        <b/>
        <sz val="14"/>
        <rFont val="游明朝"/>
        <family val="1"/>
        <charset val="128"/>
      </rPr>
      <t xml:space="preserve">（補則）
第１８条 </t>
    </r>
    <r>
      <rPr>
        <sz val="14"/>
        <rFont val="游明朝"/>
        <family val="1"/>
        <charset val="128"/>
      </rPr>
      <t xml:space="preserve">
この契約書に定めのない事項については、必要に応じ注文者と請負者が誠意をもって協議して定める。
</t>
    </r>
  </si>
  <si>
    <r>
      <rPr>
        <b/>
        <sz val="14"/>
        <rFont val="游明朝"/>
        <family val="1"/>
        <charset val="128"/>
      </rPr>
      <t xml:space="preserve">
（工事および工期の変更）
第１０条 
</t>
    </r>
    <r>
      <rPr>
        <sz val="14"/>
        <rFont val="游明朝"/>
        <family val="1"/>
        <charset val="128"/>
      </rPr>
      <t xml:space="preserve">注文者は、必要がある場合には工事の追加、変更を申し入れすることができる。
２ 前項の追加・変更工事の内容は、注文者と請負者の合意により決める。
３ 前項の合意により定められた追加・変更工事により、追加工事代金が発生した場合や請負者に損害を及ぼした場合は、請負者は注文者に対してその支払いまたは賠償を求めることができる。
４ 請負者は、不可抗力その他正当な理由があるときは、注文者に対してその理由を明示して、追加工事代金および工期の延長を求めることができる。追加工事代金および延長日数は、追加工事代金および工期の延長を求める理由に応じて、注文者と請負者が協議して決める。
</t>
    </r>
    <r>
      <rPr>
        <b/>
        <sz val="14"/>
        <rFont val="游明朝"/>
        <family val="1"/>
        <charset val="128"/>
      </rPr>
      <t xml:space="preserve">
（注文者の中止権・解除権）
第１１条 
</t>
    </r>
    <r>
      <rPr>
        <sz val="14"/>
        <rFont val="游明朝"/>
        <family val="1"/>
        <charset val="128"/>
      </rPr>
      <t xml:space="preserve">注文者は、必要がある場合には、書面（電子メール等含む）をもって工事を中止しまたはこの契約を解除することができる。これにより請負者に発生した損害を注文者が賠償する義務を負う。
２ 注文者は請負者が正当な理由なく工事をしない場合、相当期間を定めて書面（電子メール等含む）をもって催告し、その期間内に履行がない場合はこの契約を解除することができる。ただし、期間を経過したときにおける債務の不履行がその契約および取引上の社会通念に照らして軽微であるときはこの限りではない。
３ 次の各号の一にあたるときは、注文者は、書面（電子メール等含む）をもって工事を将来に向かって中止し、またはこの契約を解除することができる。この場合、注文者は、発生した損害を請負者に請求することができる。ただし、その原因が注文者にある場合にはこの限りではない。
一 請負者が正当な理由なく、着手期日を過ぎても工事に着工しないとき。
二 正当な理由なく工事が工程表より著しく遅れ、工期内または期限後相当期間内に、請負者が工事を完成する見込がないと認められるとき。
三 請負者が強制執行を受け、資金不足による手形・小切手の不渡りを出し、破産・会社更生・会社整理・特別清算の申し立てをし、もしくは受け、または民事再生の申し立てをするなど、請負者が工事を続行できないおそれがあると認められるとき。
四 請負者が第１２条第１項（注文者の責による工事の中止権）の各号の一に規定する理由がないのに、この契約の解除を申し出たとき。
五 その他、請負者がこの契約に違反し、そのため契約の目的が達成できなくなったと認められるとき。
</t>
    </r>
    <r>
      <rPr>
        <b/>
        <sz val="14"/>
        <rFont val="游明朝"/>
        <family val="1"/>
        <charset val="128"/>
      </rPr>
      <t xml:space="preserve">
（請負者の中止権・解除権）
第１２条
 </t>
    </r>
    <r>
      <rPr>
        <sz val="14"/>
        <rFont val="游明朝"/>
        <family val="1"/>
        <charset val="128"/>
      </rPr>
      <t xml:space="preserve">注文者が、次の各号の一にあたる義務違反をしたとき、請負者が相当の期間を定めて書面（電子メール等含む）をもって催告してもなお注文者がこれを是正しない場合は、請負者は、工事を中止しまたはこの契約を解除することができる。
一 正当な理由なく前払または部分払を遅滞したとき。
二 正当な理由なく第７条第２項、第９条第１項、第２項および第１０条第４項による協議に応じないとき。
三 工事用地等を請負者の使用に供することができないため、または不可抗力などのため請負者が施工できないとき。
四 前各号のほか、注文者の責に帰すべき理由により工事が著しく遅延したとき。
２ 請負者は、前項に基づく工事の遅延または中止期間が、当初の工期の３分の１以上になったとき、または２か月以上になったときは書面（電子メール等含む）をもってこの契約を解除することができる。
３ 注文者が、正当な理由なく前払いまたは部分払いを拒否する意思を明確に表示したときは、請負者は書面（電子メール等含む）をもって工事を将来に向かって中止し、またはこの契約を解除することができる。
４ 前各項の場合、請負者は注文者に損害の賠償を請求することができる。
</t>
    </r>
    <r>
      <rPr>
        <b/>
        <sz val="14"/>
        <rFont val="游明朝"/>
        <family val="1"/>
        <charset val="128"/>
      </rPr>
      <t xml:space="preserve">
（解除に伴う措置）
第１３条 
</t>
    </r>
    <r>
      <rPr>
        <sz val="14"/>
        <rFont val="游明朝"/>
        <family val="1"/>
        <charset val="128"/>
      </rPr>
      <t xml:space="preserve">前２条により、注文者または請負者がこの契約を解除したときは、出来形部分および工事材料・建築設備機器等の処理を含めて、注文者と請負者が協議した上で、注文者は請負者に対して出来形部分の未払い分を支払い、過払いがあるときは、請負者は過払い額について注文者に支払う。
２ 前項の協議の際には、当事者に属する物件について、その期間を定めてその引取り、後片付け等の処置方法を検討して実行する。
３ 第１項の協議が調わない場合および前項の処置が遅れている場合、一方が催告しても他方が正当な理由なくこの処置を行わないときは、自らその処置を実施し、その費用を求償することができる。
</t>
    </r>
    <r>
      <rPr>
        <b/>
        <sz val="14"/>
        <rFont val="游明朝"/>
        <family val="1"/>
        <charset val="128"/>
      </rPr>
      <t xml:space="preserve">（遅延損害金）
第１４条 </t>
    </r>
    <r>
      <rPr>
        <sz val="14"/>
        <rFont val="游明朝"/>
        <family val="1"/>
        <charset val="128"/>
      </rPr>
      <t xml:space="preserve">
請負者の責に帰する事由により、契約期間内に契約の工事が完了できないときは、注文者は遅滞日数１日につき、請負代金から工事済部分と搬入工事材料に対する請負代金相当額を控除した額に年 14.6％の割合を乗じた額の違約金を請求することができる。
２ 注文者が請負代金の支払を完了しないときは、請負者は遅滞日数の１日につき、支払遅滞額に年14.6％の割合を乗じた額の違約金を請求することができる。
</t>
    </r>
    <r>
      <rPr>
        <b/>
        <sz val="14"/>
        <rFont val="游明朝"/>
        <family val="1"/>
        <charset val="128"/>
      </rPr>
      <t xml:space="preserve">（個人情報の取扱い）
第１５条 </t>
    </r>
    <r>
      <rPr>
        <sz val="14"/>
        <rFont val="游明朝"/>
        <family val="1"/>
        <charset val="128"/>
      </rPr>
      <t xml:space="preserve">
注文者は、この契約が請負者の総合的な監督の下、注文者の個人情報（ただし、要配慮個人情報を除く）の一部が、請負者の指定する施工業者、資材メーカー等の第三者に、この契約の履行及び工事完了後のアフターメンテナンス等において必要な範囲内に限り利用されることを承諾するものとする。
</t>
    </r>
    <r>
      <rPr>
        <b/>
        <sz val="14"/>
        <rFont val="游ゴシック"/>
        <family val="3"/>
        <charset val="128"/>
      </rPr>
      <t xml:space="preserve">
</t>
    </r>
  </si>
  <si>
    <t>備考：</t>
  </si>
  <si>
    <t>担当者印</t>
  </si>
  <si>
    <t>お客様印</t>
  </si>
  <si>
    <t>お客様氏名：</t>
  </si>
  <si>
    <t>　　　　年　　月　　日</t>
  </si>
  <si>
    <t>契約年月日：</t>
  </si>
  <si>
    <t>□クーリング・オフについての説明を受け承諾しました</t>
  </si>
  <si>
    <t>□本契約におけるリフォーム工事に同意する</t>
  </si>
  <si>
    <r>
      <rPr>
        <b/>
        <sz val="10"/>
        <color rgb="FFFF0000"/>
        <rFont val="游明朝"/>
        <family val="1"/>
        <charset val="128"/>
      </rPr>
      <t>ご契約いただきますリフォーム工事またはインテリア商品等販売が「特定商取引に関する法律」の適用を受ける場合（注）で、クーリングオフを行おうとする場合には、この説明書・工事請負契約約款を充分お読み下さい。</t>
    </r>
    <r>
      <rPr>
        <sz val="10"/>
        <color rgb="FFFF0000"/>
        <rFont val="游明朝"/>
        <family val="1"/>
        <charset val="128"/>
      </rPr>
      <t xml:space="preserve">
（注）「特定商取引に関する法律」の適用を受ける場合：訪問販売、電話勧誘販売による取引
Ⅰ 契約の解除（クーリングオフ）を行おうとする場合
①「特定商取引に関する法律」の適用を受ける場合（注）で、クーリングオフを行おうとする場合には、この書面を受領した日から起算して８日以内は、お客様（注文者）は書面をもって工事請負契約の解除（クーリングオフと呼びます）ができ、その効力は解除する旨の書面をしたときに生ずるものとします。ただし、次のような場合等にはクーリングオフの権利行使はできません。
ア）お客様（注文者）がリフォーム工事建物等を営業用に利用する場合や、お客様（注文者）からのご請求によりご自宅でのお申し込みまたはご契約を行った場合等
イ）壁紙などの消耗品を使用（最小包装単位）または、3,000 円未満の現金取引
②上記クーリングオフの行使を妨げるために請負者が不実のことを告げたことによりお客様（注文者）が誤認し、または威迫したことにより困惑してクーリングオフを行わなかった場合は、請負者から、クーリングオフ妨害の解消のための書面が交付され、その内容について説明を受けた日から８日を経過するまでは書面によりクーリングオフすることができます。
Ⅱ上記期間内に契約の解除（クーリングオフ）があった場合
①請負者は契約の解除に伴う損害賠償または違約金支払を請求することはありません。
②契約の解除があった場合に、既に商品の引渡しが行われているときは、その引取りに要する費用は請負者の負担とします。
③契約解除のお申し出の際に既に受領した金員がある場合は、すみやかにその全額を無利息にて返還いたします。
④役務の提供に伴い、土地または建物その他の工作物の現状が変更された場合には、お客様（注文者）は無料で元の状態にもどすよう請求することができます。
⑤すでに役務が提供されたときにおいても、請負者は、お客様（注文者）に提供した役務の対価、その他の金銭の支払を請求することはありません。
</t>
    </r>
  </si>
  <si>
    <t>（特定商取引に関する法律の適用を受ける場合のクーリングオフについての説明書）</t>
    <phoneticPr fontId="12"/>
  </si>
  <si>
    <t>説明担当者：Renovation Shop りほむる</t>
  </si>
  <si>
    <t>（特定商取引に関する法律の適用を受ける場合のクーリングオフについての説明書）</t>
  </si>
  <si>
    <t>住宅・店舗改装工事請負契約書</t>
  </si>
  <si>
    <t>本契約書と別紙住宅リフォーム工事請負契約約款及び
添付の見積書、仕様書、設計図にもとづいて、工事請負契約を結ぶ。
この契約の証として本書を2通作成し、当事者が記名押印の上、それぞれ1通を保有する。</t>
  </si>
  <si>
    <t>1.工事名称</t>
  </si>
  <si>
    <t>2.工事場所</t>
  </si>
  <si>
    <t>3.工事期間</t>
  </si>
  <si>
    <t>4.請負金額</t>
  </si>
  <si>
    <t>うち工事価格（消費税等額を除く）</t>
  </si>
  <si>
    <t>￥</t>
  </si>
  <si>
    <t>取引に係る消費税等額</t>
  </si>
  <si>
    <t>5.支払方法</t>
  </si>
  <si>
    <t>種別</t>
  </si>
  <si>
    <t>日時</t>
  </si>
  <si>
    <t>　</t>
  </si>
  <si>
    <t xml:space="preserve">  </t>
  </si>
  <si>
    <t xml:space="preserve"> </t>
  </si>
  <si>
    <t>税</t>
  </si>
  <si>
    <t>着工金</t>
  </si>
  <si>
    <t>着工時</t>
  </si>
  <si>
    <t>中間金</t>
  </si>
  <si>
    <t>完工金</t>
  </si>
  <si>
    <t>完工時</t>
  </si>
  <si>
    <t>契約締結日：　　　　年　　　月　　　日</t>
  </si>
  <si>
    <t>発注者</t>
  </si>
  <si>
    <t>氏名</t>
  </si>
  <si>
    <t>電話番号</t>
  </si>
  <si>
    <t>請負者</t>
  </si>
  <si>
    <t>代表者名</t>
  </si>
  <si>
    <t>担当者名</t>
  </si>
  <si>
    <t>作成日</t>
  </si>
  <si>
    <t>様</t>
  </si>
  <si>
    <t>作業完了報告書</t>
  </si>
  <si>
    <t>件      名</t>
  </si>
  <si>
    <t>作業内容</t>
  </si>
  <si>
    <t>※内訳明細書参照</t>
  </si>
  <si>
    <t>特記事項</t>
  </si>
  <si>
    <t>□完工検査を実施しました</t>
  </si>
  <si>
    <t>□上記の工事完了を確認しました</t>
  </si>
  <si>
    <t>令和</t>
  </si>
  <si>
    <t>年</t>
  </si>
  <si>
    <t>月</t>
  </si>
  <si>
    <t>日</t>
  </si>
  <si>
    <t>工事保証書</t>
  </si>
  <si>
    <t>この度は、弊社に工事をご発注頂き、誠にありがとうございました。</t>
  </si>
  <si>
    <t>工事には万全を期しておりますが、万一、不具合が生じた場合には、</t>
  </si>
  <si>
    <t>下記の通り保証いたします。</t>
  </si>
  <si>
    <t>【工事名】</t>
  </si>
  <si>
    <t>【工事場所】</t>
  </si>
  <si>
    <t>【完成引渡日】</t>
  </si>
  <si>
    <t>作業完了報告書参照</t>
  </si>
  <si>
    <t>【保証期間】</t>
  </si>
  <si>
    <t>下記参照</t>
  </si>
  <si>
    <t>≪保証内容≫</t>
  </si>
  <si>
    <t>　下記条件にすべて該当する場合、無償にて修理や修復工事をいたします。</t>
  </si>
  <si>
    <t>　　1）本書記載の保証対象期間内であること</t>
  </si>
  <si>
    <t>　　2）一般環境条件下、通常の設置環境、正常の使用状況の下であること</t>
  </si>
  <si>
    <t>　　3）本書のご提示があること</t>
  </si>
  <si>
    <t>≪保証の適用外≫</t>
  </si>
  <si>
    <t>　以下に示す事項に起因する故障や損傷及び使用上影響のない感覚的な評価はご容赦下さい。</t>
  </si>
  <si>
    <t>　　1）お客様のご使用上の誤りや、過失・修理・改修・移動等によって発生したもの</t>
  </si>
  <si>
    <t>　　2）摩擦・摩耗等の材料の自然特性、あるいは、経年変化に起因するもの</t>
  </si>
  <si>
    <t>　　3）火災・地震・水害・落雷・その他天変地異・公害や異常電圧によるもの</t>
  </si>
  <si>
    <t>≪保証期間≫</t>
  </si>
  <si>
    <t>保証対象部位</t>
  </si>
  <si>
    <t>現象</t>
  </si>
  <si>
    <t>保証内容</t>
  </si>
  <si>
    <t>保証期間</t>
  </si>
  <si>
    <t>請　求　書</t>
  </si>
  <si>
    <t>請求日</t>
  </si>
  <si>
    <t>登録番号：T8810494589309</t>
  </si>
  <si>
    <t>下記をご請求申し上げます。</t>
  </si>
  <si>
    <t>合計(税込)</t>
  </si>
  <si>
    <t>品目</t>
  </si>
  <si>
    <t>価格</t>
  </si>
  <si>
    <t>式</t>
  </si>
  <si>
    <t>振込先</t>
  </si>
  <si>
    <t>お振込み期限：</t>
  </si>
  <si>
    <t>口座名義：ﾘﾉﾍﾞｼｮｯﾌﾟﾘﾎﾑﾙ ﾌｼﾞﾜﾗﾕｳｼﾞ</t>
  </si>
  <si>
    <t>藤原　祐二</t>
    <phoneticPr fontId="12"/>
  </si>
  <si>
    <t>２０２６年　　月　　日</t>
    <phoneticPr fontId="12"/>
  </si>
  <si>
    <t>金融機関名:三井住友銀行</t>
    <phoneticPr fontId="12"/>
  </si>
  <si>
    <t>支店名：六本木支店</t>
    <phoneticPr fontId="12"/>
  </si>
  <si>
    <t>口座番号：普通 ７８２８０７１</t>
    <phoneticPr fontId="12"/>
  </si>
  <si>
    <t>店番：６１９</t>
    <phoneticPr fontId="12"/>
  </si>
  <si>
    <t>TEL ０４４-４００-０５７０</t>
    <phoneticPr fontId="12"/>
  </si>
  <si>
    <t>TEL０４４-４００-０５７０</t>
    <phoneticPr fontId="12"/>
  </si>
  <si>
    <t>FAX０４４-４００-０５７１</t>
    <phoneticPr fontId="1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</si>
</sst>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quot;¥&quot;\-#,##0"/>
    <numFmt numFmtId="6" formatCode="&quot;¥&quot;#,##0;[Red]&quot;¥&quot;\-#,##0"/>
    <numFmt numFmtId="41" formatCode="_ * #,##0_ ;_ * \-#,##0_ ;_ * &quot;-&quot;_ ;_ @_ "/>
    <numFmt numFmtId="176" formatCode="#,##0_ "/>
    <numFmt numFmtId="177" formatCode="#,##0;[Red]\-#,##0&quot;（税込）&quot;"/>
    <numFmt numFmtId="178" formatCode="_-&quot;¥&quot;* #,##0_-\ ;\-&quot;¥&quot;* #,##0_-\ ;_-&quot;¥&quot;* &quot;-&quot;??_-\ ;_-@_-"/>
    <numFmt numFmtId="179" formatCode="0.0_ "/>
    <numFmt numFmtId="180" formatCode="0.00_ "/>
    <numFmt numFmtId="181" formatCode="0.0_);[Red]\(0.0\)"/>
    <numFmt numFmtId="182" formatCode="\(0.00\)"/>
    <numFmt numFmtId="183" formatCode=";;;"/>
    <numFmt numFmtId="184" formatCode="0.00_ ;;;"/>
    <numFmt numFmtId="185" formatCode="\(0.00\)_ ;;;"/>
    <numFmt numFmtId="186" formatCode="\(0.00%\);;;"/>
    <numFmt numFmtId="187" formatCode="#,##0_);[Red]\(#,##0\)"/>
    <numFmt numFmtId="188" formatCode="0_ ;;;"/>
    <numFmt numFmtId="189" formatCode="yyyy&quot;年&quot;mm&quot;月&quot;dd&quot;日&quot;"/>
    <numFmt numFmtId="190" formatCode="&quot;¥&quot;#,##0;[Red]&quot;¥&quot;#,##0"/>
    <numFmt numFmtId="191" formatCode="#,##0;&quot;▲&quot;#,##0;#"/>
  </numFmts>
  <fonts count="97">
    <font>
      <sz val="11"/>
      <color theme="1"/>
      <name val="Yu Gothic"/>
      <charset val="128"/>
      <scheme val="minor"/>
    </font>
    <font>
      <sz val="12"/>
      <color theme="1"/>
      <name val="Yu Gothic"/>
      <charset val="128"/>
      <scheme val="minor"/>
    </font>
    <font>
      <b/>
      <sz val="11"/>
      <color theme="6" tint="-0.499984740745262"/>
      <name val="游ゴシック"/>
      <family val="3"/>
      <charset val="128"/>
    </font>
    <font>
      <b/>
      <sz val="12"/>
      <color theme="6" tint="-0.499984740745262"/>
      <name val="游ゴシック"/>
      <family val="3"/>
      <charset val="128"/>
    </font>
    <font>
      <sz val="12"/>
      <color theme="6" tint="-0.499984740745262"/>
      <name val="游ゴシック"/>
      <family val="3"/>
      <charset val="128"/>
    </font>
    <font>
      <sz val="12"/>
      <color rgb="FF34401A"/>
      <name val="游ゴシック"/>
      <family val="3"/>
      <charset val="128"/>
    </font>
    <font>
      <sz val="12"/>
      <color theme="1"/>
      <name val="游ゴシック"/>
      <family val="3"/>
      <charset val="128"/>
    </font>
    <font>
      <b/>
      <sz val="9"/>
      <color theme="6" tint="-0.499984740745262"/>
      <name val="游ゴシック"/>
      <family val="3"/>
      <charset val="128"/>
    </font>
    <font>
      <sz val="11"/>
      <color rgb="FF34401A"/>
      <name val="Yu Gothic"/>
      <charset val="128"/>
      <scheme val="minor"/>
    </font>
    <font>
      <b/>
      <sz val="24"/>
      <color rgb="FF222222"/>
      <name val="Helvetica"/>
      <family val="2"/>
    </font>
    <font>
      <sz val="11"/>
      <name val="ＭＳ Ｐゴシック"/>
      <family val="3"/>
      <charset val="128"/>
    </font>
    <font>
      <sz val="11"/>
      <color theme="1"/>
      <name val="Yu Gothic"/>
      <charset val="128"/>
      <scheme val="minor"/>
    </font>
    <font>
      <sz val="6"/>
      <name val="Yu Gothic"/>
      <charset val="128"/>
      <scheme val="minor"/>
    </font>
    <font>
      <b/>
      <sz val="11"/>
      <color theme="1"/>
      <name val="Yu Gothic"/>
      <family val="3"/>
      <charset val="128"/>
      <scheme val="minor"/>
    </font>
    <font>
      <sz val="11"/>
      <color theme="1"/>
      <name val="Yu Gothic"/>
      <family val="3"/>
      <charset val="128"/>
      <scheme val="minor"/>
    </font>
    <font>
      <b/>
      <sz val="12"/>
      <color theme="1"/>
      <name val="Yu Gothic"/>
      <family val="3"/>
      <charset val="128"/>
      <scheme val="minor"/>
    </font>
    <font>
      <sz val="12"/>
      <color theme="1"/>
      <name val="Yu Gothic"/>
      <family val="3"/>
      <charset val="128"/>
      <scheme val="minor"/>
    </font>
    <font>
      <sz val="9"/>
      <color rgb="FF000000"/>
      <name val="Meiryo UI"/>
      <family val="3"/>
      <charset val="128"/>
    </font>
    <font>
      <sz val="11"/>
      <color theme="0" tint="-0.249977111117893"/>
      <name val="Yu Gothic"/>
      <charset val="128"/>
      <scheme val="minor"/>
    </font>
    <font>
      <sz val="11"/>
      <color theme="0" tint="-0.249977111117893"/>
      <name val="Yu Gothic"/>
      <family val="3"/>
      <charset val="128"/>
      <scheme val="minor"/>
    </font>
    <font>
      <b/>
      <sz val="11"/>
      <color theme="0" tint="-0.249977111117893"/>
      <name val="Yu Gothic"/>
      <family val="3"/>
      <charset val="128"/>
      <scheme val="minor"/>
    </font>
    <font>
      <b/>
      <sz val="11"/>
      <color theme="1" tint="0.499984740745262"/>
      <name val="Yu Gothic"/>
      <family val="3"/>
      <charset val="128"/>
      <scheme val="minor"/>
    </font>
    <font>
      <sz val="11"/>
      <name val="Yu Gothic"/>
      <charset val="128"/>
      <scheme val="minor"/>
    </font>
    <font>
      <sz val="11"/>
      <name val="Yu Gothic"/>
      <family val="3"/>
      <charset val="128"/>
      <scheme val="minor"/>
    </font>
    <font>
      <sz val="11"/>
      <color theme="0" tint="-0.14999847407452621"/>
      <name val="Yu Gothic"/>
      <charset val="128"/>
      <scheme val="minor"/>
    </font>
    <font>
      <sz val="11"/>
      <color theme="0" tint="-0.14999847407452621"/>
      <name val="Yu Gothic"/>
      <family val="3"/>
      <charset val="128"/>
      <scheme val="minor"/>
    </font>
    <font>
      <sz val="10"/>
      <color theme="1"/>
      <name val="Yu Gothic"/>
      <family val="3"/>
      <charset val="128"/>
      <scheme val="minor"/>
    </font>
    <font>
      <sz val="8"/>
      <color theme="1"/>
      <name val="Yu Gothic"/>
      <charset val="128"/>
      <scheme val="minor"/>
    </font>
    <font>
      <sz val="8"/>
      <color theme="1"/>
      <name val="Yu Gothic"/>
      <family val="3"/>
      <charset val="128"/>
      <scheme val="minor"/>
    </font>
    <font>
      <sz val="7.3"/>
      <color theme="1"/>
      <name val="Yu Gothic"/>
      <charset val="128"/>
      <scheme val="minor"/>
    </font>
    <font>
      <sz val="7.3"/>
      <color theme="1"/>
      <name val="Yu Gothic"/>
      <family val="3"/>
      <charset val="128"/>
      <scheme val="minor"/>
    </font>
    <font>
      <b/>
      <sz val="16"/>
      <color theme="1" tint="0.14996795556505021"/>
      <name val="游ゴシック"/>
      <family val="3"/>
      <charset val="128"/>
    </font>
    <font>
      <sz val="9"/>
      <color theme="1"/>
      <name val="Yu Gothic"/>
      <charset val="128"/>
      <scheme val="minor"/>
    </font>
    <font>
      <sz val="9"/>
      <color theme="1"/>
      <name val="Yu Gothic"/>
      <family val="3"/>
      <charset val="128"/>
      <scheme val="minor"/>
    </font>
    <font>
      <sz val="12"/>
      <name val="游ゴシック"/>
      <family val="3"/>
      <charset val="128"/>
    </font>
    <font>
      <sz val="9"/>
      <name val="游ゴシック"/>
      <family val="3"/>
      <charset val="128"/>
    </font>
    <font>
      <b/>
      <sz val="11"/>
      <color theme="1" tint="0.249977111117893"/>
      <name val="游ゴシック"/>
      <family val="3"/>
      <charset val="128"/>
    </font>
    <font>
      <b/>
      <sz val="14"/>
      <color theme="1" tint="0.249977111117893"/>
      <name val="游ゴシック"/>
      <family val="3"/>
      <charset val="128"/>
    </font>
    <font>
      <b/>
      <sz val="8"/>
      <color theme="1" tint="0.249977111117893"/>
      <name val="游ゴシック"/>
      <family val="3"/>
      <charset val="128"/>
    </font>
    <font>
      <b/>
      <sz val="10"/>
      <color theme="1" tint="0.249977111117893"/>
      <name val="游ゴシック"/>
      <family val="3"/>
      <charset val="128"/>
    </font>
    <font>
      <b/>
      <sz val="7"/>
      <color theme="1" tint="0.249977111117893"/>
      <name val="游ゴシック"/>
      <family val="3"/>
      <charset val="128"/>
    </font>
    <font>
      <sz val="11"/>
      <color theme="1" tint="0.249977111117893"/>
      <name val="游ゴシック"/>
      <family val="3"/>
      <charset val="128"/>
    </font>
    <font>
      <sz val="9"/>
      <color theme="1" tint="0.249977111117893"/>
      <name val="游ゴシック"/>
      <family val="3"/>
      <charset val="128"/>
    </font>
    <font>
      <sz val="12"/>
      <color theme="1" tint="0.249977111117893"/>
      <name val="游ゴシック"/>
      <family val="3"/>
      <charset val="128"/>
    </font>
    <font>
      <b/>
      <sz val="12"/>
      <color theme="1" tint="0.249977111117893"/>
      <name val="游ゴシック"/>
      <family val="3"/>
      <charset val="128"/>
    </font>
    <font>
      <b/>
      <sz val="16"/>
      <color theme="1" tint="0.34998626667073579"/>
      <name val="游ゴシック"/>
      <family val="3"/>
      <charset val="128"/>
    </font>
    <font>
      <b/>
      <sz val="14"/>
      <color theme="1" tint="0.499984740745262"/>
      <name val="游ゴシック"/>
      <family val="3"/>
      <charset val="128"/>
    </font>
    <font>
      <b/>
      <sz val="9"/>
      <color theme="1" tint="0.499984740745262"/>
      <name val="游ゴシック"/>
      <family val="3"/>
      <charset val="128"/>
    </font>
    <font>
      <b/>
      <sz val="11"/>
      <color theme="1" tint="0.499984740745262"/>
      <name val="游ゴシック"/>
      <family val="3"/>
      <charset val="128"/>
    </font>
    <font>
      <sz val="9"/>
      <color theme="6" tint="-0.499984740745262"/>
      <name val="游ゴシック"/>
      <family val="3"/>
      <charset val="128"/>
    </font>
    <font>
      <sz val="9"/>
      <color rgb="FF34401A"/>
      <name val="游ゴシック"/>
      <family val="3"/>
      <charset val="128"/>
    </font>
    <font>
      <sz val="9"/>
      <color theme="1"/>
      <name val="游ゴシック"/>
      <family val="3"/>
      <charset val="128"/>
    </font>
    <font>
      <b/>
      <sz val="12"/>
      <color theme="0"/>
      <name val="游ゴシック"/>
      <family val="3"/>
      <charset val="128"/>
    </font>
    <font>
      <b/>
      <sz val="11"/>
      <color theme="0"/>
      <name val="游ゴシック"/>
      <family val="3"/>
      <charset val="128"/>
    </font>
    <font>
      <b/>
      <sz val="18"/>
      <color rgb="FF3F8169"/>
      <name val="游ゴシック"/>
      <family val="3"/>
      <charset val="128"/>
    </font>
    <font>
      <b/>
      <sz val="14"/>
      <color rgb="FF3F8169"/>
      <name val="游ゴシック"/>
      <family val="3"/>
      <charset val="128"/>
    </font>
    <font>
      <sz val="9"/>
      <color theme="1" tint="0.34998626667073579"/>
      <name val="游ゴシック"/>
      <family val="3"/>
      <charset val="128"/>
    </font>
    <font>
      <sz val="11"/>
      <color theme="0"/>
      <name val="Yu Gothic"/>
      <charset val="128"/>
      <scheme val="minor"/>
    </font>
    <font>
      <sz val="11"/>
      <color rgb="FF3F8169"/>
      <name val="Yu Gothic"/>
      <charset val="128"/>
      <scheme val="minor"/>
    </font>
    <font>
      <b/>
      <sz val="16"/>
      <color theme="1" tint="0.499984740745262"/>
      <name val="游ゴシック"/>
      <family val="3"/>
      <charset val="128"/>
    </font>
    <font>
      <sz val="11"/>
      <color theme="1" tint="0.34998626667073579"/>
      <name val="游ゴシック"/>
      <family val="3"/>
      <charset val="128"/>
    </font>
    <font>
      <sz val="11"/>
      <color theme="1" tint="0.34998626667073579"/>
      <name val="Yu Gothic"/>
      <charset val="128"/>
      <scheme val="minor"/>
    </font>
    <font>
      <b/>
      <sz val="22"/>
      <name val="游明朝"/>
      <family val="1"/>
      <charset val="128"/>
    </font>
    <font>
      <b/>
      <sz val="14"/>
      <name val="游明朝"/>
      <family val="1"/>
      <charset val="128"/>
    </font>
    <font>
      <sz val="14"/>
      <name val="游明朝"/>
      <family val="1"/>
      <charset val="128"/>
    </font>
    <font>
      <sz val="14"/>
      <name val="游ゴシック"/>
      <family val="3"/>
      <charset val="128"/>
    </font>
    <font>
      <b/>
      <sz val="12"/>
      <name val="游ゴシック"/>
      <family val="3"/>
      <charset val="128"/>
    </font>
    <font>
      <b/>
      <sz val="14"/>
      <name val="游ゴシック"/>
      <family val="3"/>
      <charset val="128"/>
    </font>
    <font>
      <sz val="10"/>
      <color theme="1"/>
      <name val="游明朝"/>
      <family val="1"/>
      <charset val="128"/>
    </font>
    <font>
      <sz val="10"/>
      <color rgb="FFFF0000"/>
      <name val="游明朝"/>
      <family val="1"/>
      <charset val="128"/>
    </font>
    <font>
      <b/>
      <sz val="10"/>
      <color rgb="FFFF0000"/>
      <name val="游明朝"/>
      <family val="1"/>
      <charset val="128"/>
    </font>
    <font>
      <sz val="12"/>
      <color theme="1"/>
      <name val="游明朝"/>
      <family val="1"/>
      <charset val="128"/>
    </font>
    <font>
      <b/>
      <sz val="12"/>
      <color rgb="FFFF0000"/>
      <name val="游明朝"/>
      <family val="1"/>
      <charset val="128"/>
    </font>
    <font>
      <b/>
      <sz val="24"/>
      <name val="游ゴシック"/>
      <family val="3"/>
      <charset val="128"/>
    </font>
    <font>
      <b/>
      <sz val="11"/>
      <name val="游明朝"/>
      <family val="1"/>
      <charset val="128"/>
    </font>
    <font>
      <b/>
      <sz val="10"/>
      <name val="游明朝"/>
      <family val="1"/>
      <charset val="128"/>
    </font>
    <font>
      <sz val="9"/>
      <color theme="0" tint="-0.249977111117893"/>
      <name val="游ゴシック"/>
      <family val="3"/>
      <charset val="128"/>
    </font>
    <font>
      <b/>
      <sz val="9"/>
      <name val="游ゴシック"/>
      <family val="3"/>
      <charset val="128"/>
    </font>
    <font>
      <b/>
      <sz val="10"/>
      <name val="游ゴシック"/>
      <family val="3"/>
      <charset val="128"/>
    </font>
    <font>
      <b/>
      <sz val="9"/>
      <name val="游明朝"/>
      <family val="1"/>
      <charset val="128"/>
    </font>
    <font>
      <b/>
      <sz val="6"/>
      <name val="游ゴシック"/>
      <family val="3"/>
      <charset val="128"/>
    </font>
    <font>
      <b/>
      <sz val="12"/>
      <color theme="1"/>
      <name val="游ゴシック"/>
      <family val="3"/>
      <charset val="128"/>
    </font>
    <font>
      <sz val="11"/>
      <color theme="1"/>
      <name val="游ゴシック"/>
      <family val="3"/>
      <charset val="128"/>
    </font>
    <font>
      <sz val="11"/>
      <name val="游ゴシック"/>
      <family val="3"/>
      <charset val="128"/>
    </font>
    <font>
      <sz val="10"/>
      <name val="游ゴシック"/>
      <family val="3"/>
      <charset val="128"/>
    </font>
    <font>
      <b/>
      <sz val="18"/>
      <name val="游明朝"/>
      <family val="1"/>
      <charset val="128"/>
    </font>
    <font>
      <u/>
      <sz val="11"/>
      <color theme="10"/>
      <name val="Yu Gothic"/>
      <charset val="128"/>
      <scheme val="minor"/>
    </font>
    <font>
      <sz val="11"/>
      <color theme="1"/>
      <name val="游明朝"/>
      <family val="1"/>
      <charset val="128"/>
    </font>
    <font>
      <sz val="18"/>
      <color theme="1"/>
      <name val="游明朝"/>
      <family val="1"/>
      <charset val="128"/>
    </font>
    <font>
      <sz val="14"/>
      <color theme="1"/>
      <name val="游明朝"/>
      <family val="1"/>
      <charset val="128"/>
    </font>
    <font>
      <sz val="8"/>
      <color theme="1"/>
      <name val="游明朝"/>
      <family val="1"/>
      <charset val="128"/>
    </font>
    <font>
      <sz val="11"/>
      <color rgb="FF34401A"/>
      <name val="游ゴシック"/>
      <family val="3"/>
      <charset val="128"/>
    </font>
    <font>
      <b/>
      <sz val="11"/>
      <name val="游ゴシック"/>
      <family val="3"/>
      <charset val="128"/>
    </font>
    <font>
      <b/>
      <sz val="7"/>
      <name val="游ゴシック"/>
      <family val="3"/>
      <charset val="128"/>
    </font>
    <font>
      <b/>
      <sz val="16"/>
      <name val="游ゴシック"/>
      <family val="3"/>
      <charset val="128"/>
    </font>
    <font>
      <b/>
      <sz val="8"/>
      <name val="游ゴシック"/>
      <family val="3"/>
      <charset val="128"/>
    </font>
    <font>
      <sz val="7"/>
      <color theme="1"/>
      <name val="游明朝"/>
      <family val="1"/>
      <charset val="128"/>
    </font>
  </fonts>
  <fills count="6">
    <fill>
      <patternFill patternType="none"/>
    </fill>
    <fill>
      <patternFill patternType="gray125"/>
    </fill>
    <fill>
      <patternFill patternType="solid">
        <fgColor theme="0" tint="-0.14999847407452621"/>
        <bgColor indexed="64"/>
      </patternFill>
    </fill>
    <fill>
      <patternFill patternType="solid">
        <fgColor rgb="FF62B295"/>
        <bgColor indexed="64"/>
      </patternFill>
    </fill>
    <fill>
      <patternFill patternType="solid">
        <fgColor rgb="FFEFF7F4"/>
        <bgColor indexed="64"/>
      </patternFill>
    </fill>
    <fill>
      <patternFill patternType="solid">
        <fgColor indexed="22"/>
        <bgColor indexed="31"/>
      </patternFill>
    </fill>
  </fills>
  <borders count="15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diagonal/>
    </border>
    <border>
      <left/>
      <right/>
      <top/>
      <bottom style="double">
        <color auto="1"/>
      </bottom>
      <diagonal/>
    </border>
    <border>
      <left style="medium">
        <color auto="1"/>
      </left>
      <right/>
      <top/>
      <bottom/>
      <diagonal/>
    </border>
    <border>
      <left style="medium">
        <color auto="1"/>
      </left>
      <right/>
      <top/>
      <bottom style="thin">
        <color auto="1"/>
      </bottom>
      <diagonal/>
    </border>
    <border>
      <left/>
      <right/>
      <top style="double">
        <color auto="1"/>
      </top>
      <bottom/>
      <diagonal/>
    </border>
    <border>
      <left/>
      <right/>
      <top/>
      <bottom style="medium">
        <color auto="1"/>
      </bottom>
      <diagonal/>
    </border>
    <border>
      <left style="medium">
        <color auto="1"/>
      </left>
      <right/>
      <top style="medium">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auto="1"/>
      </bottom>
      <diagonal/>
    </border>
    <border>
      <left style="hair">
        <color auto="1"/>
      </left>
      <right style="hair">
        <color auto="1"/>
      </right>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diagonal/>
    </border>
    <border>
      <left/>
      <right style="hair">
        <color auto="1"/>
      </right>
      <top/>
      <bottom style="hair">
        <color auto="1"/>
      </bottom>
      <diagonal/>
    </border>
    <border>
      <left style="hair">
        <color auto="1"/>
      </left>
      <right style="hair">
        <color auto="1"/>
      </right>
      <top style="hair">
        <color auto="1"/>
      </top>
      <bottom/>
      <diagonal/>
    </border>
    <border>
      <left/>
      <right style="hair">
        <color auto="1"/>
      </right>
      <top style="hair">
        <color auto="1"/>
      </top>
      <bottom style="thin">
        <color theme="1" tint="0.249977111117893"/>
      </bottom>
      <diagonal/>
    </border>
    <border>
      <left style="hair">
        <color auto="1"/>
      </left>
      <right style="hair">
        <color auto="1"/>
      </right>
      <top style="hair">
        <color auto="1"/>
      </top>
      <bottom style="thin">
        <color theme="1" tint="0.249977111117893"/>
      </bottom>
      <diagonal/>
    </border>
    <border>
      <left/>
      <right/>
      <top style="hair">
        <color auto="1"/>
      </top>
      <bottom/>
      <diagonal/>
    </border>
    <border>
      <left style="thick">
        <color indexed="64"/>
      </left>
      <right style="hair">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hair">
        <color indexed="64"/>
      </left>
      <right style="thick">
        <color indexed="64"/>
      </right>
      <top/>
      <bottom style="hair">
        <color indexed="64"/>
      </bottom>
      <diagonal/>
    </border>
    <border>
      <left style="hair">
        <color auto="1"/>
      </left>
      <right style="thin">
        <color indexed="64"/>
      </right>
      <top style="hair">
        <color auto="1"/>
      </top>
      <bottom style="hair">
        <color auto="1"/>
      </bottom>
      <diagonal/>
    </border>
    <border>
      <left style="hair">
        <color auto="1"/>
      </left>
      <right style="thin">
        <color indexed="64"/>
      </right>
      <top style="hair">
        <color auto="1"/>
      </top>
      <bottom/>
      <diagonal/>
    </border>
    <border>
      <left/>
      <right/>
      <top style="hair">
        <color auto="1"/>
      </top>
      <bottom style="hair">
        <color auto="1"/>
      </bottom>
      <diagonal/>
    </border>
    <border>
      <left style="hair">
        <color auto="1"/>
      </left>
      <right style="hair">
        <color auto="1"/>
      </right>
      <top/>
      <bottom/>
      <diagonal/>
    </border>
    <border>
      <left/>
      <right/>
      <top/>
      <bottom style="hair">
        <color auto="1"/>
      </bottom>
      <diagonal/>
    </border>
    <border>
      <left style="hair">
        <color auto="1"/>
      </left>
      <right style="hair">
        <color auto="1"/>
      </right>
      <top/>
      <bottom style="thin">
        <color indexed="64"/>
      </bottom>
      <diagonal/>
    </border>
    <border>
      <left style="medium">
        <color indexed="64"/>
      </left>
      <right style="hair">
        <color auto="1"/>
      </right>
      <top style="medium">
        <color indexed="64"/>
      </top>
      <bottom style="hair">
        <color auto="1"/>
      </bottom>
      <diagonal/>
    </border>
    <border>
      <left style="hair">
        <color auto="1"/>
      </left>
      <right style="hair">
        <color auto="1"/>
      </right>
      <top style="medium">
        <color indexed="64"/>
      </top>
      <bottom style="hair">
        <color auto="1"/>
      </bottom>
      <diagonal/>
    </border>
    <border>
      <left style="hair">
        <color auto="1"/>
      </left>
      <right style="medium">
        <color indexed="64"/>
      </right>
      <top style="medium">
        <color indexed="64"/>
      </top>
      <bottom style="hair">
        <color auto="1"/>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right style="hair">
        <color auto="1"/>
      </right>
      <top/>
      <bottom/>
      <diagonal/>
    </border>
    <border>
      <left style="hair">
        <color auto="1"/>
      </left>
      <right/>
      <top style="medium">
        <color indexed="64"/>
      </top>
      <bottom style="hair">
        <color auto="1"/>
      </bottom>
      <diagonal/>
    </border>
    <border>
      <left style="hair">
        <color auto="1"/>
      </left>
      <right/>
      <top style="hair">
        <color auto="1"/>
      </top>
      <bottom style="medium">
        <color indexed="64"/>
      </bottom>
      <diagonal/>
    </border>
    <border>
      <left style="hair">
        <color auto="1"/>
      </left>
      <right style="medium">
        <color indexed="64"/>
      </right>
      <top/>
      <bottom style="hair">
        <color auto="1"/>
      </bottom>
      <diagonal/>
    </border>
    <border>
      <left style="thick">
        <color indexed="64"/>
      </left>
      <right style="hair">
        <color auto="1"/>
      </right>
      <top style="thick">
        <color indexed="64"/>
      </top>
      <bottom style="hair">
        <color auto="1"/>
      </bottom>
      <diagonal/>
    </border>
    <border>
      <left style="hair">
        <color auto="1"/>
      </left>
      <right style="hair">
        <color auto="1"/>
      </right>
      <top style="thick">
        <color indexed="64"/>
      </top>
      <bottom style="hair">
        <color auto="1"/>
      </bottom>
      <diagonal/>
    </border>
    <border>
      <left style="hair">
        <color auto="1"/>
      </left>
      <right style="thick">
        <color indexed="64"/>
      </right>
      <top style="thick">
        <color indexed="64"/>
      </top>
      <bottom style="hair">
        <color auto="1"/>
      </bottom>
      <diagonal/>
    </border>
    <border>
      <left style="thick">
        <color indexed="64"/>
      </left>
      <right style="hair">
        <color auto="1"/>
      </right>
      <top style="thick">
        <color indexed="64"/>
      </top>
      <bottom style="thick">
        <color indexed="64"/>
      </bottom>
      <diagonal/>
    </border>
    <border>
      <left style="hair">
        <color auto="1"/>
      </left>
      <right style="hair">
        <color auto="1"/>
      </right>
      <top style="thick">
        <color indexed="64"/>
      </top>
      <bottom style="thick">
        <color indexed="64"/>
      </bottom>
      <diagonal/>
    </border>
    <border>
      <left style="hair">
        <color auto="1"/>
      </left>
      <right style="thick">
        <color indexed="64"/>
      </right>
      <top style="thick">
        <color indexed="64"/>
      </top>
      <bottom style="thick">
        <color indexed="64"/>
      </bottom>
      <diagonal/>
    </border>
    <border>
      <left style="hair">
        <color auto="1"/>
      </left>
      <right style="medium">
        <color indexed="64"/>
      </right>
      <top/>
      <bottom style="thin">
        <color auto="1"/>
      </bottom>
      <diagonal/>
    </border>
    <border>
      <left style="hair">
        <color auto="1"/>
      </left>
      <right style="hair">
        <color auto="1"/>
      </right>
      <top/>
      <bottom style="thin">
        <color theme="1" tint="0.249977111117893"/>
      </bottom>
      <diagonal/>
    </border>
    <border>
      <left style="medium">
        <color indexed="64"/>
      </left>
      <right style="hair">
        <color auto="1"/>
      </right>
      <top style="hair">
        <color auto="1"/>
      </top>
      <bottom/>
      <diagonal/>
    </border>
    <border>
      <left style="hair">
        <color auto="1"/>
      </left>
      <right style="medium">
        <color indexed="64"/>
      </right>
      <top style="hair">
        <color auto="1"/>
      </top>
      <bottom/>
      <diagonal/>
    </border>
    <border>
      <left style="medium">
        <color indexed="64"/>
      </left>
      <right/>
      <top style="medium">
        <color indexed="64"/>
      </top>
      <bottom style="hair">
        <color auto="1"/>
      </bottom>
      <diagonal/>
    </border>
    <border>
      <left/>
      <right/>
      <top style="medium">
        <color indexed="64"/>
      </top>
      <bottom style="hair">
        <color auto="1"/>
      </bottom>
      <diagonal/>
    </border>
    <border>
      <left/>
      <right style="hair">
        <color auto="1"/>
      </right>
      <top style="medium">
        <color indexed="64"/>
      </top>
      <bottom style="hair">
        <color auto="1"/>
      </bottom>
      <diagonal/>
    </border>
    <border>
      <left style="medium">
        <color indexed="64"/>
      </left>
      <right/>
      <top style="hair">
        <color auto="1"/>
      </top>
      <bottom style="hair">
        <color auto="1"/>
      </bottom>
      <diagonal/>
    </border>
    <border>
      <left style="medium">
        <color indexed="64"/>
      </left>
      <right/>
      <top style="hair">
        <color auto="1"/>
      </top>
      <bottom style="thin">
        <color theme="1" tint="0.249977111117893"/>
      </bottom>
      <diagonal/>
    </border>
    <border>
      <left style="hair">
        <color auto="1"/>
      </left>
      <right style="medium">
        <color indexed="64"/>
      </right>
      <top style="hair">
        <color auto="1"/>
      </top>
      <bottom style="thin">
        <color theme="1" tint="0.249977111117893"/>
      </bottom>
      <diagonal/>
    </border>
    <border>
      <left style="medium">
        <color indexed="64"/>
      </left>
      <right/>
      <top style="hair">
        <color auto="1"/>
      </top>
      <bottom/>
      <diagonal/>
    </border>
    <border>
      <left style="thick">
        <color auto="1"/>
      </left>
      <right style="thick">
        <color auto="1"/>
      </right>
      <top style="thick">
        <color auto="1"/>
      </top>
      <bottom style="hair">
        <color auto="1"/>
      </bottom>
      <diagonal/>
    </border>
    <border>
      <left style="thick">
        <color auto="1"/>
      </left>
      <right style="thick">
        <color auto="1"/>
      </right>
      <top style="hair">
        <color auto="1"/>
      </top>
      <bottom style="hair">
        <color auto="1"/>
      </bottom>
      <diagonal/>
    </border>
    <border>
      <left style="hair">
        <color auto="1"/>
      </left>
      <right/>
      <top style="hair">
        <color auto="1"/>
      </top>
      <bottom/>
      <diagonal/>
    </border>
    <border>
      <left style="hair">
        <color auto="1"/>
      </left>
      <right style="thick">
        <color indexed="64"/>
      </right>
      <top style="hair">
        <color indexed="64"/>
      </top>
      <bottom style="medium">
        <color indexed="64"/>
      </bottom>
      <diagonal/>
    </border>
    <border>
      <left/>
      <right style="hair">
        <color auto="1"/>
      </right>
      <top style="hair">
        <color auto="1"/>
      </top>
      <bottom style="thick">
        <color indexed="64"/>
      </bottom>
      <diagonal/>
    </border>
    <border>
      <left style="thick">
        <color indexed="64"/>
      </left>
      <right style="hair">
        <color auto="1"/>
      </right>
      <top style="hair">
        <color auto="1"/>
      </top>
      <bottom style="medium">
        <color indexed="64"/>
      </bottom>
      <diagonal/>
    </border>
    <border>
      <left style="hair">
        <color auto="1"/>
      </left>
      <right/>
      <top/>
      <bottom/>
      <diagonal/>
    </border>
    <border>
      <left/>
      <right style="thick">
        <color indexed="64"/>
      </right>
      <top style="hair">
        <color indexed="64"/>
      </top>
      <bottom style="hair">
        <color auto="1"/>
      </bottom>
      <diagonal/>
    </border>
    <border>
      <left style="hair">
        <color auto="1"/>
      </left>
      <right style="hair">
        <color auto="1"/>
      </right>
      <top style="thick">
        <color indexed="64"/>
      </top>
      <bottom/>
      <diagonal/>
    </border>
    <border>
      <left style="hair">
        <color auto="1"/>
      </left>
      <right style="thick">
        <color indexed="64"/>
      </right>
      <top style="thick">
        <color indexed="64"/>
      </top>
      <bottom/>
      <diagonal/>
    </border>
    <border>
      <left/>
      <right style="hair">
        <color auto="1"/>
      </right>
      <top style="thick">
        <color indexed="64"/>
      </top>
      <bottom/>
      <diagonal/>
    </border>
    <border>
      <left style="hair">
        <color auto="1"/>
      </left>
      <right style="hair">
        <color auto="1"/>
      </right>
      <top/>
      <bottom style="thick">
        <color indexed="64"/>
      </bottom>
      <diagonal/>
    </border>
    <border>
      <left style="hair">
        <color auto="1"/>
      </left>
      <right style="thick">
        <color indexed="64"/>
      </right>
      <top/>
      <bottom style="thick">
        <color indexed="64"/>
      </bottom>
      <diagonal/>
    </border>
    <border>
      <left/>
      <right style="hair">
        <color auto="1"/>
      </right>
      <top style="medium">
        <color indexed="64"/>
      </top>
      <bottom/>
      <diagonal/>
    </border>
    <border>
      <left/>
      <right style="hair">
        <color indexed="64"/>
      </right>
      <top/>
      <bottom style="thin">
        <color indexed="64"/>
      </bottom>
      <diagonal/>
    </border>
    <border>
      <left style="hair">
        <color indexed="64"/>
      </left>
      <right/>
      <top/>
      <bottom style="thin">
        <color indexed="64"/>
      </bottom>
      <diagonal/>
    </border>
    <border>
      <left style="hair">
        <color indexed="64"/>
      </left>
      <right style="hair">
        <color indexed="64"/>
      </right>
      <top style="hair">
        <color indexed="64"/>
      </top>
      <bottom style="thin">
        <color indexed="64"/>
      </bottom>
      <diagonal/>
    </border>
    <border>
      <left style="hair">
        <color auto="1"/>
      </left>
      <right/>
      <top/>
      <bottom style="hair">
        <color auto="1"/>
      </bottom>
      <diagonal/>
    </border>
    <border>
      <left style="thick">
        <color auto="1"/>
      </left>
      <right style="thick">
        <color auto="1"/>
      </right>
      <top style="hair">
        <color auto="1"/>
      </top>
      <bottom style="thick">
        <color auto="1"/>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auto="1"/>
      </left>
      <right style="hair">
        <color auto="1"/>
      </right>
      <top style="medium">
        <color indexed="64"/>
      </top>
      <bottom/>
      <diagonal/>
    </border>
    <border>
      <left style="hair">
        <color auto="1"/>
      </left>
      <right style="medium">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thin">
        <color indexed="64"/>
      </bottom>
      <diagonal/>
    </border>
    <border>
      <left/>
      <right style="medium">
        <color indexed="64"/>
      </right>
      <top/>
      <bottom style="thin">
        <color indexed="64"/>
      </bottom>
      <diagonal/>
    </border>
    <border>
      <left style="hair">
        <color indexed="64"/>
      </left>
      <right style="medium">
        <color indexed="64"/>
      </right>
      <top/>
      <bottom/>
      <diagonal/>
    </border>
    <border>
      <left style="hair">
        <color auto="1"/>
      </left>
      <right style="medium">
        <color indexed="64"/>
      </right>
      <top style="thick">
        <color indexed="64"/>
      </top>
      <bottom style="hair">
        <color auto="1"/>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thick">
        <color auto="1"/>
      </left>
      <right style="thick">
        <color auto="1"/>
      </right>
      <top style="hair">
        <color auto="1"/>
      </top>
      <bottom/>
      <diagonal/>
    </border>
    <border>
      <left style="thick">
        <color auto="1"/>
      </left>
      <right style="thick">
        <color auto="1"/>
      </right>
      <top/>
      <bottom style="hair">
        <color auto="1"/>
      </bottom>
      <diagonal/>
    </border>
    <border>
      <left style="thick">
        <color auto="1"/>
      </left>
      <right/>
      <top style="thick">
        <color auto="1"/>
      </top>
      <bottom style="thick">
        <color auto="1"/>
      </bottom>
      <diagonal/>
    </border>
    <border>
      <left style="hair">
        <color indexed="64"/>
      </left>
      <right style="medium">
        <color indexed="64"/>
      </right>
      <top style="thin">
        <color indexed="64"/>
      </top>
      <bottom/>
      <diagonal/>
    </border>
    <border>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right/>
      <top style="thin">
        <color auto="1"/>
      </top>
      <bottom style="hair">
        <color auto="1"/>
      </bottom>
      <diagonal/>
    </border>
    <border>
      <left style="hair">
        <color auto="1"/>
      </left>
      <right/>
      <top style="thin">
        <color auto="1"/>
      </top>
      <bottom style="hair">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hair">
        <color auto="1"/>
      </right>
      <top style="hair">
        <color auto="1"/>
      </top>
      <bottom style="thin">
        <color auto="1"/>
      </bottom>
      <diagonal/>
    </border>
    <border>
      <left style="hair">
        <color auto="1"/>
      </left>
      <right/>
      <top style="hair">
        <color auto="1"/>
      </top>
      <bottom style="thin">
        <color auto="1"/>
      </bottom>
      <diagonal/>
    </border>
    <border>
      <left/>
      <right/>
      <top/>
      <bottom style="double">
        <color rgb="FF3F8169"/>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style="medium">
        <color rgb="FFE41908"/>
      </right>
      <top/>
      <bottom style="medium">
        <color rgb="FFE41908"/>
      </bottom>
      <diagonal/>
    </border>
    <border>
      <left/>
      <right/>
      <top/>
      <bottom style="medium">
        <color rgb="FFE41908"/>
      </bottom>
      <diagonal/>
    </border>
    <border>
      <left style="medium">
        <color rgb="FFE41908"/>
      </left>
      <right/>
      <top/>
      <bottom style="medium">
        <color rgb="FFE41908"/>
      </bottom>
      <diagonal/>
    </border>
    <border>
      <left/>
      <right style="medium">
        <color rgb="FFE41908"/>
      </right>
      <top/>
      <bottom/>
      <diagonal/>
    </border>
    <border>
      <left style="medium">
        <color rgb="FFE41908"/>
      </left>
      <right/>
      <top/>
      <bottom/>
      <diagonal/>
    </border>
    <border>
      <left/>
      <right style="medium">
        <color rgb="FFE41908"/>
      </right>
      <top style="medium">
        <color rgb="FFE41908"/>
      </top>
      <bottom/>
      <diagonal/>
    </border>
    <border>
      <left/>
      <right/>
      <top style="medium">
        <color rgb="FFE41908"/>
      </top>
      <bottom/>
      <diagonal/>
    </border>
    <border>
      <left style="medium">
        <color rgb="FFE41908"/>
      </left>
      <right/>
      <top style="medium">
        <color rgb="FFE41908"/>
      </top>
      <bottom/>
      <diagonal/>
    </border>
    <border>
      <left style="thin">
        <color auto="1"/>
      </left>
      <right/>
      <top style="thin">
        <color auto="1"/>
      </top>
      <bottom/>
      <diagonal/>
    </border>
    <border>
      <left/>
      <right/>
      <top/>
      <bottom style="thin">
        <color indexed="8"/>
      </bottom>
      <diagonal/>
    </border>
    <border>
      <left/>
      <right/>
      <top/>
      <bottom style="double">
        <color indexed="8"/>
      </bottom>
      <diagonal/>
    </border>
    <border>
      <left/>
      <right/>
      <top style="double">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double">
        <color indexed="8"/>
      </bottom>
      <diagonal/>
    </border>
    <border>
      <left/>
      <right style="thin">
        <color indexed="8"/>
      </right>
      <top style="thin">
        <color indexed="8"/>
      </top>
      <bottom style="double">
        <color indexed="8"/>
      </bottom>
      <diagonal/>
    </border>
    <border>
      <left style="thin">
        <color indexed="8"/>
      </left>
      <right style="thin">
        <color indexed="8"/>
      </right>
      <top style="thin">
        <color indexed="8"/>
      </top>
      <bottom style="double">
        <color indexed="8"/>
      </bottom>
      <diagonal/>
    </border>
    <border>
      <left style="thin">
        <color indexed="8"/>
      </left>
      <right style="thin">
        <color indexed="8"/>
      </right>
      <top style="thin">
        <color indexed="8"/>
      </top>
      <bottom/>
      <diagonal/>
    </border>
    <border>
      <left/>
      <right style="thin">
        <color indexed="8"/>
      </right>
      <top style="double">
        <color indexed="8"/>
      </top>
      <bottom/>
      <diagonal/>
    </border>
    <border>
      <left style="thin">
        <color indexed="8"/>
      </left>
      <right style="thin">
        <color indexed="8"/>
      </right>
      <top/>
      <bottom/>
      <diagonal/>
    </border>
  </borders>
  <cellStyleXfs count="7">
    <xf numFmtId="0" fontId="0" fillId="0" borderId="0">
      <alignment vertical="center"/>
    </xf>
    <xf numFmtId="38" fontId="11" fillId="0" borderId="0">
      <alignment vertical="center"/>
    </xf>
    <xf numFmtId="6" fontId="11" fillId="0" borderId="0">
      <alignment vertical="center"/>
    </xf>
    <xf numFmtId="0" fontId="10" fillId="0" borderId="0"/>
    <xf numFmtId="38" fontId="10" fillId="0" borderId="0"/>
    <xf numFmtId="0" fontId="10" fillId="0" borderId="0">
      <alignment vertical="center"/>
    </xf>
    <xf numFmtId="0" fontId="86" fillId="0" borderId="0" applyNumberFormat="0" applyFill="0" applyBorder="0" applyAlignment="0" applyProtection="0">
      <alignment vertical="center"/>
    </xf>
  </cellStyleXfs>
  <cellXfs count="646">
    <xf numFmtId="0" fontId="0" fillId="0" borderId="0" xfId="0">
      <alignment vertical="center"/>
    </xf>
    <xf numFmtId="0" fontId="1" fillId="0" borderId="0" xfId="0" applyFont="1" applyProtection="1">
      <alignment vertical="center"/>
      <protection locked="0"/>
    </xf>
    <xf numFmtId="0" fontId="2" fillId="0" borderId="0" xfId="0" applyFont="1" applyProtection="1">
      <alignment vertical="center"/>
      <protection locked="0"/>
    </xf>
    <xf numFmtId="0" fontId="3" fillId="0" borderId="0" xfId="0" applyFont="1" applyProtection="1">
      <alignment vertical="center"/>
      <protection locked="0"/>
    </xf>
    <xf numFmtId="0" fontId="4" fillId="0" borderId="0" xfId="0" applyFont="1" applyProtection="1">
      <alignment vertical="center"/>
      <protection locked="0"/>
    </xf>
    <xf numFmtId="0" fontId="5" fillId="0" borderId="0" xfId="0" applyFont="1" applyProtection="1">
      <alignment vertical="center"/>
      <protection locked="0"/>
    </xf>
    <xf numFmtId="0" fontId="6" fillId="0" borderId="0" xfId="0" applyFont="1" applyProtection="1">
      <alignment vertical="center"/>
      <protection locked="0"/>
    </xf>
    <xf numFmtId="0" fontId="0" fillId="0" borderId="0" xfId="0" applyAlignment="1"/>
    <xf numFmtId="0" fontId="13" fillId="0" borderId="0" xfId="0" applyFont="1">
      <alignment vertical="center"/>
    </xf>
    <xf numFmtId="179" fontId="0" fillId="0" borderId="0" xfId="0" applyNumberFormat="1">
      <alignment vertical="center"/>
    </xf>
    <xf numFmtId="180" fontId="0" fillId="0" borderId="0" xfId="0" applyNumberFormat="1">
      <alignment vertical="center"/>
    </xf>
    <xf numFmtId="181" fontId="13" fillId="0" borderId="0" xfId="0" applyNumberFormat="1" applyFont="1">
      <alignment vertical="center"/>
    </xf>
    <xf numFmtId="181" fontId="0" fillId="0" borderId="0" xfId="0" applyNumberFormat="1">
      <alignment vertical="center"/>
    </xf>
    <xf numFmtId="0" fontId="14" fillId="0" borderId="0" xfId="0" applyFont="1">
      <alignment vertical="center"/>
    </xf>
    <xf numFmtId="0" fontId="0" fillId="0" borderId="13" xfId="0" applyBorder="1">
      <alignment vertical="center"/>
    </xf>
    <xf numFmtId="0" fontId="14" fillId="0" borderId="13" xfId="0" applyFont="1" applyBorder="1">
      <alignment vertical="center"/>
    </xf>
    <xf numFmtId="0" fontId="0" fillId="0" borderId="15" xfId="0" applyBorder="1">
      <alignment vertical="center"/>
    </xf>
    <xf numFmtId="183" fontId="0" fillId="0" borderId="0" xfId="0" applyNumberFormat="1">
      <alignment vertical="center"/>
    </xf>
    <xf numFmtId="0" fontId="0" fillId="0" borderId="0" xfId="0" applyProtection="1">
      <alignment vertical="center"/>
      <protection locked="0"/>
    </xf>
    <xf numFmtId="180" fontId="0" fillId="0" borderId="13" xfId="0" applyNumberFormat="1" applyBorder="1" applyProtection="1">
      <alignment vertical="center"/>
      <protection locked="0"/>
    </xf>
    <xf numFmtId="180" fontId="0" fillId="0" borderId="0" xfId="0" applyNumberFormat="1" applyProtection="1">
      <alignment vertical="center"/>
      <protection locked="0"/>
    </xf>
    <xf numFmtId="179" fontId="0" fillId="0" borderId="0" xfId="0" applyNumberFormat="1" applyProtection="1">
      <alignment vertical="center"/>
      <protection locked="0"/>
    </xf>
    <xf numFmtId="0" fontId="0" fillId="0" borderId="13" xfId="0" applyBorder="1" applyProtection="1">
      <alignment vertical="center"/>
      <protection locked="0"/>
    </xf>
    <xf numFmtId="181" fontId="13" fillId="0" borderId="0" xfId="0" applyNumberFormat="1" applyFont="1" applyProtection="1">
      <alignment vertical="center"/>
      <protection locked="0"/>
    </xf>
    <xf numFmtId="0" fontId="14" fillId="0" borderId="0" xfId="0" applyFont="1" applyProtection="1">
      <alignment vertical="center"/>
      <protection locked="0"/>
    </xf>
    <xf numFmtId="0" fontId="13" fillId="0" borderId="0" xfId="0" applyFont="1" applyProtection="1">
      <alignment vertical="center"/>
      <protection locked="0"/>
    </xf>
    <xf numFmtId="181" fontId="0" fillId="0" borderId="0" xfId="0" applyNumberFormat="1" applyProtection="1">
      <alignment vertical="center"/>
      <protection locked="0"/>
    </xf>
    <xf numFmtId="183" fontId="0" fillId="0" borderId="13" xfId="0" applyNumberFormat="1" applyBorder="1" applyProtection="1">
      <alignment vertical="center"/>
      <protection locked="0"/>
    </xf>
    <xf numFmtId="183" fontId="0" fillId="0" borderId="17" xfId="0" applyNumberFormat="1" applyBorder="1" applyProtection="1">
      <alignment vertical="center"/>
      <protection locked="0"/>
    </xf>
    <xf numFmtId="0" fontId="14" fillId="0" borderId="40" xfId="0" applyFont="1" applyBorder="1" applyProtection="1">
      <alignment vertical="center"/>
      <protection locked="0"/>
    </xf>
    <xf numFmtId="180" fontId="0" fillId="0" borderId="47" xfId="0" applyNumberFormat="1" applyBorder="1" applyProtection="1">
      <alignment vertical="center"/>
      <protection locked="0"/>
    </xf>
    <xf numFmtId="180" fontId="0" fillId="0" borderId="48" xfId="0" applyNumberFormat="1" applyBorder="1" applyProtection="1">
      <alignment vertical="center"/>
      <protection locked="0"/>
    </xf>
    <xf numFmtId="180" fontId="0" fillId="0" borderId="49" xfId="0" applyNumberFormat="1" applyBorder="1" applyProtection="1">
      <alignment vertical="center"/>
      <protection locked="0"/>
    </xf>
    <xf numFmtId="180" fontId="0" fillId="0" borderId="24" xfId="0" applyNumberFormat="1" applyBorder="1" applyProtection="1">
      <alignment vertical="center"/>
      <protection locked="0"/>
    </xf>
    <xf numFmtId="180" fontId="0" fillId="0" borderId="25" xfId="0" applyNumberFormat="1" applyBorder="1" applyProtection="1">
      <alignment vertical="center"/>
      <protection locked="0"/>
    </xf>
    <xf numFmtId="180" fontId="0" fillId="0" borderId="26" xfId="0" applyNumberFormat="1" applyBorder="1" applyProtection="1">
      <alignment vertical="center"/>
      <protection locked="0"/>
    </xf>
    <xf numFmtId="180" fontId="0" fillId="0" borderId="27" xfId="0" applyNumberFormat="1" applyBorder="1" applyProtection="1">
      <alignment vertical="center"/>
      <protection locked="0"/>
    </xf>
    <xf numFmtId="180" fontId="0" fillId="0" borderId="28" xfId="0" applyNumberFormat="1" applyBorder="1" applyProtection="1">
      <alignment vertical="center"/>
      <protection locked="0"/>
    </xf>
    <xf numFmtId="10" fontId="0" fillId="0" borderId="50" xfId="0" applyNumberFormat="1" applyBorder="1" applyProtection="1">
      <alignment vertical="center"/>
      <protection locked="0"/>
    </xf>
    <xf numFmtId="10" fontId="0" fillId="0" borderId="51" xfId="0" applyNumberFormat="1" applyBorder="1" applyProtection="1">
      <alignment vertical="center"/>
      <protection locked="0"/>
    </xf>
    <xf numFmtId="10" fontId="0" fillId="0" borderId="52" xfId="0" applyNumberFormat="1" applyBorder="1" applyProtection="1">
      <alignment vertical="center"/>
      <protection locked="0"/>
    </xf>
    <xf numFmtId="180" fontId="14" fillId="0" borderId="50" xfId="0" applyNumberFormat="1" applyFont="1" applyBorder="1" applyProtection="1">
      <alignment vertical="center"/>
      <protection locked="0"/>
    </xf>
    <xf numFmtId="180" fontId="14" fillId="0" borderId="51" xfId="0" applyNumberFormat="1" applyFont="1" applyBorder="1" applyProtection="1">
      <alignment vertical="center"/>
      <protection locked="0"/>
    </xf>
    <xf numFmtId="180" fontId="14" fillId="0" borderId="52" xfId="0" applyNumberFormat="1" applyFont="1" applyBorder="1" applyProtection="1">
      <alignment vertical="center"/>
      <protection locked="0"/>
    </xf>
    <xf numFmtId="181" fontId="0" fillId="0" borderId="47" xfId="0" applyNumberFormat="1" applyBorder="1" applyProtection="1">
      <alignment vertical="center"/>
      <protection locked="0"/>
    </xf>
    <xf numFmtId="181" fontId="0" fillId="0" borderId="48" xfId="0" applyNumberFormat="1" applyBorder="1" applyProtection="1">
      <alignment vertical="center"/>
      <protection locked="0"/>
    </xf>
    <xf numFmtId="181" fontId="0" fillId="0" borderId="49" xfId="0" applyNumberFormat="1" applyBorder="1" applyProtection="1">
      <alignment vertical="center"/>
      <protection locked="0"/>
    </xf>
    <xf numFmtId="181" fontId="0" fillId="0" borderId="26" xfId="0" applyNumberFormat="1" applyBorder="1" applyProtection="1">
      <alignment vertical="center"/>
      <protection locked="0"/>
    </xf>
    <xf numFmtId="181" fontId="0" fillId="0" borderId="27" xfId="0" applyNumberFormat="1" applyBorder="1" applyProtection="1">
      <alignment vertical="center"/>
      <protection locked="0"/>
    </xf>
    <xf numFmtId="181" fontId="0" fillId="0" borderId="28" xfId="0" applyNumberFormat="1" applyBorder="1" applyProtection="1">
      <alignment vertical="center"/>
      <protection locked="0"/>
    </xf>
    <xf numFmtId="9" fontId="0" fillId="0" borderId="50" xfId="0" applyNumberFormat="1" applyBorder="1" applyProtection="1">
      <alignment vertical="center"/>
      <protection locked="0"/>
    </xf>
    <xf numFmtId="9" fontId="0" fillId="0" borderId="51" xfId="0" applyNumberFormat="1" applyBorder="1" applyProtection="1">
      <alignment vertical="center"/>
      <protection locked="0"/>
    </xf>
    <xf numFmtId="9" fontId="0" fillId="0" borderId="52" xfId="0" applyNumberFormat="1" applyBorder="1" applyProtection="1">
      <alignment vertical="center"/>
      <protection locked="0"/>
    </xf>
    <xf numFmtId="0" fontId="0" fillId="0" borderId="64" xfId="0" applyBorder="1" applyProtection="1">
      <alignment vertical="center"/>
      <protection locked="0"/>
    </xf>
    <xf numFmtId="0" fontId="14" fillId="0" borderId="65" xfId="0" applyFont="1" applyBorder="1" applyProtection="1">
      <alignment vertical="center"/>
      <protection locked="0"/>
    </xf>
    <xf numFmtId="0" fontId="0" fillId="0" borderId="64" xfId="0" applyBorder="1" applyAlignment="1" applyProtection="1">
      <alignment horizontal="left" vertical="center"/>
      <protection locked="0"/>
    </xf>
    <xf numFmtId="0" fontId="14" fillId="0" borderId="65" xfId="0" applyFont="1" applyBorder="1" applyAlignment="1" applyProtection="1">
      <alignment horizontal="left" vertical="center"/>
      <protection locked="0"/>
    </xf>
    <xf numFmtId="183" fontId="0" fillId="0" borderId="51" xfId="0" applyNumberFormat="1" applyBorder="1" applyProtection="1">
      <alignment vertical="center"/>
      <protection locked="0"/>
    </xf>
    <xf numFmtId="183" fontId="0" fillId="0" borderId="50" xfId="0" applyNumberFormat="1" applyBorder="1" applyProtection="1">
      <alignment vertical="center"/>
      <protection locked="0"/>
    </xf>
    <xf numFmtId="183" fontId="0" fillId="0" borderId="25" xfId="0" applyNumberFormat="1" applyBorder="1" applyProtection="1">
      <alignment vertical="center"/>
      <protection locked="0"/>
    </xf>
    <xf numFmtId="183" fontId="0" fillId="0" borderId="27" xfId="0" applyNumberFormat="1" applyBorder="1" applyProtection="1">
      <alignment vertical="center"/>
      <protection locked="0"/>
    </xf>
    <xf numFmtId="183" fontId="0" fillId="0" borderId="28" xfId="0" applyNumberFormat="1" applyBorder="1" applyProtection="1">
      <alignment vertical="center"/>
      <protection locked="0"/>
    </xf>
    <xf numFmtId="183" fontId="0" fillId="0" borderId="68" xfId="0" applyNumberFormat="1" applyBorder="1" applyProtection="1">
      <alignment vertical="center"/>
      <protection locked="0"/>
    </xf>
    <xf numFmtId="183" fontId="0" fillId="0" borderId="72" xfId="0" applyNumberFormat="1" applyBorder="1" applyProtection="1">
      <alignment vertical="center"/>
      <protection locked="0"/>
    </xf>
    <xf numFmtId="183" fontId="0" fillId="0" borderId="15" xfId="0" applyNumberFormat="1" applyBorder="1" applyProtection="1">
      <alignment vertical="center"/>
      <protection locked="0"/>
    </xf>
    <xf numFmtId="183" fontId="0" fillId="0" borderId="73" xfId="0" applyNumberFormat="1" applyBorder="1" applyProtection="1">
      <alignment vertical="center"/>
      <protection locked="0"/>
    </xf>
    <xf numFmtId="183" fontId="0" fillId="0" borderId="29" xfId="0" applyNumberFormat="1" applyBorder="1" applyProtection="1">
      <alignment vertical="center"/>
      <protection locked="0"/>
    </xf>
    <xf numFmtId="0" fontId="0" fillId="0" borderId="25" xfId="0" applyBorder="1" applyProtection="1">
      <alignment vertical="center"/>
      <protection locked="0"/>
    </xf>
    <xf numFmtId="183" fontId="0" fillId="0" borderId="74" xfId="0" applyNumberFormat="1" applyBorder="1" applyProtection="1">
      <alignment vertical="center"/>
      <protection locked="0"/>
    </xf>
    <xf numFmtId="183" fontId="0" fillId="0" borderId="19" xfId="0" applyNumberFormat="1" applyBorder="1" applyProtection="1">
      <alignment vertical="center"/>
      <protection locked="0"/>
    </xf>
    <xf numFmtId="0" fontId="0" fillId="0" borderId="24" xfId="0" applyBorder="1" applyProtection="1">
      <alignment vertical="center"/>
      <protection locked="0"/>
    </xf>
    <xf numFmtId="183" fontId="0" fillId="0" borderId="75" xfId="0" applyNumberFormat="1" applyBorder="1" applyProtection="1">
      <alignment vertical="center"/>
      <protection locked="0"/>
    </xf>
    <xf numFmtId="183" fontId="0" fillId="0" borderId="76" xfId="0" applyNumberFormat="1" applyBorder="1" applyProtection="1">
      <alignment vertical="center"/>
      <protection locked="0"/>
    </xf>
    <xf numFmtId="0" fontId="0" fillId="0" borderId="32" xfId="0" applyBorder="1" applyProtection="1">
      <alignment vertical="center"/>
      <protection locked="0"/>
    </xf>
    <xf numFmtId="0" fontId="0" fillId="0" borderId="36" xfId="0" applyBorder="1">
      <alignment vertical="center"/>
    </xf>
    <xf numFmtId="0" fontId="0" fillId="0" borderId="44" xfId="0" applyBorder="1">
      <alignment vertical="center"/>
    </xf>
    <xf numFmtId="0" fontId="0" fillId="0" borderId="60" xfId="0" applyBorder="1" applyAlignment="1">
      <alignment horizontal="center" vertical="center"/>
    </xf>
    <xf numFmtId="0" fontId="0" fillId="0" borderId="32" xfId="0" applyBorder="1" applyAlignment="1">
      <alignment horizontal="center" vertical="center"/>
    </xf>
    <xf numFmtId="0" fontId="0" fillId="0" borderId="33" xfId="0" applyBorder="1">
      <alignment vertical="center"/>
    </xf>
    <xf numFmtId="0" fontId="14" fillId="0" borderId="53" xfId="0" applyFont="1" applyBorder="1">
      <alignment vertical="center"/>
    </xf>
    <xf numFmtId="185" fontId="0" fillId="0" borderId="19" xfId="0" applyNumberFormat="1" applyBorder="1">
      <alignment vertical="center"/>
    </xf>
    <xf numFmtId="180" fontId="0" fillId="0" borderId="15" xfId="0" applyNumberFormat="1" applyBorder="1">
      <alignment vertical="center"/>
    </xf>
    <xf numFmtId="180" fontId="14" fillId="0" borderId="46" xfId="0" applyNumberFormat="1" applyFont="1" applyBorder="1">
      <alignment vertical="center"/>
    </xf>
    <xf numFmtId="180" fontId="0" fillId="0" borderId="13" xfId="0" applyNumberFormat="1" applyBorder="1">
      <alignment vertical="center"/>
    </xf>
    <xf numFmtId="184" fontId="0" fillId="0" borderId="17" xfId="0" applyNumberFormat="1" applyBorder="1">
      <alignment vertical="center"/>
    </xf>
    <xf numFmtId="180" fontId="14" fillId="0" borderId="40" xfId="0" applyNumberFormat="1" applyFont="1" applyBorder="1">
      <alignment vertical="center"/>
    </xf>
    <xf numFmtId="185" fontId="0" fillId="0" borderId="17" xfId="0" applyNumberFormat="1" applyBorder="1">
      <alignment vertical="center"/>
    </xf>
    <xf numFmtId="184" fontId="0" fillId="0" borderId="43" xfId="0" applyNumberFormat="1" applyBorder="1">
      <alignment vertical="center"/>
    </xf>
    <xf numFmtId="184" fontId="0" fillId="0" borderId="33" xfId="0" applyNumberFormat="1" applyBorder="1">
      <alignment vertical="center"/>
    </xf>
    <xf numFmtId="184" fontId="0" fillId="0" borderId="13" xfId="0" applyNumberFormat="1" applyBorder="1">
      <alignment vertical="center"/>
    </xf>
    <xf numFmtId="179" fontId="0" fillId="0" borderId="13" xfId="0" applyNumberFormat="1" applyBorder="1">
      <alignment vertical="center"/>
    </xf>
    <xf numFmtId="179" fontId="14" fillId="0" borderId="40" xfId="0" applyNumberFormat="1" applyFont="1" applyBorder="1">
      <alignment vertical="center"/>
    </xf>
    <xf numFmtId="186" fontId="0" fillId="0" borderId="17" xfId="0" applyNumberFormat="1" applyBorder="1">
      <alignment vertical="center"/>
    </xf>
    <xf numFmtId="0" fontId="14" fillId="0" borderId="40" xfId="0" applyFont="1" applyBorder="1">
      <alignment vertical="center"/>
    </xf>
    <xf numFmtId="184" fontId="13" fillId="0" borderId="43" xfId="0" applyNumberFormat="1" applyFont="1" applyBorder="1">
      <alignment vertical="center"/>
    </xf>
    <xf numFmtId="184" fontId="13" fillId="0" borderId="33" xfId="0" applyNumberFormat="1" applyFont="1" applyBorder="1">
      <alignment vertical="center"/>
    </xf>
    <xf numFmtId="184" fontId="13" fillId="0" borderId="13" xfId="0" applyNumberFormat="1" applyFont="1" applyBorder="1">
      <alignment vertical="center"/>
    </xf>
    <xf numFmtId="181" fontId="13" fillId="0" borderId="13" xfId="0" applyNumberFormat="1" applyFont="1" applyBorder="1">
      <alignment vertical="center"/>
    </xf>
    <xf numFmtId="181" fontId="14" fillId="2" borderId="40" xfId="0" applyNumberFormat="1" applyFont="1" applyFill="1" applyBorder="1">
      <alignment vertical="center"/>
    </xf>
    <xf numFmtId="185" fontId="14" fillId="0" borderId="17" xfId="0" applyNumberFormat="1" applyFont="1" applyBorder="1">
      <alignment vertical="center"/>
    </xf>
    <xf numFmtId="180" fontId="13" fillId="0" borderId="19" xfId="0" applyNumberFormat="1" applyFont="1" applyBorder="1">
      <alignment vertical="center"/>
    </xf>
    <xf numFmtId="180" fontId="13" fillId="0" borderId="15" xfId="0" applyNumberFormat="1" applyFont="1" applyBorder="1">
      <alignment vertical="center"/>
    </xf>
    <xf numFmtId="0" fontId="13" fillId="0" borderId="13" xfId="0" applyFont="1" applyBorder="1">
      <alignment vertical="center"/>
    </xf>
    <xf numFmtId="0" fontId="13" fillId="0" borderId="40" xfId="0" applyFont="1" applyBorder="1">
      <alignment vertical="center"/>
    </xf>
    <xf numFmtId="0" fontId="14" fillId="0" borderId="18" xfId="0" applyFont="1" applyBorder="1">
      <alignment vertical="center"/>
    </xf>
    <xf numFmtId="0" fontId="14" fillId="0" borderId="20" xfId="0" applyFont="1" applyBorder="1">
      <alignment vertical="center"/>
    </xf>
    <xf numFmtId="0" fontId="14" fillId="0" borderId="56" xfId="0" applyFont="1" applyBorder="1">
      <alignment vertical="center"/>
    </xf>
    <xf numFmtId="184" fontId="0" fillId="0" borderId="59" xfId="0" applyNumberFormat="1" applyBorder="1">
      <alignment vertical="center"/>
    </xf>
    <xf numFmtId="181" fontId="0" fillId="0" borderId="37" xfId="0" applyNumberFormat="1" applyBorder="1">
      <alignment vertical="center"/>
    </xf>
    <xf numFmtId="181" fontId="14" fillId="0" borderId="38" xfId="0" applyNumberFormat="1" applyFont="1" applyBorder="1">
      <alignment vertical="center"/>
    </xf>
    <xf numFmtId="182" fontId="0" fillId="0" borderId="17" xfId="0" applyNumberFormat="1" applyBorder="1">
      <alignment vertical="center"/>
    </xf>
    <xf numFmtId="181" fontId="0" fillId="0" borderId="13" xfId="0" applyNumberFormat="1" applyBorder="1">
      <alignment vertical="center"/>
    </xf>
    <xf numFmtId="181" fontId="14" fillId="0" borderId="40" xfId="0" applyNumberFormat="1" applyFont="1" applyBorder="1">
      <alignment vertical="center"/>
    </xf>
    <xf numFmtId="184" fontId="0" fillId="0" borderId="15" xfId="0" applyNumberFormat="1" applyBorder="1">
      <alignment vertical="center"/>
    </xf>
    <xf numFmtId="185" fontId="0" fillId="0" borderId="13" xfId="0" applyNumberFormat="1" applyBorder="1">
      <alignment vertical="center"/>
    </xf>
    <xf numFmtId="181" fontId="0" fillId="0" borderId="20" xfId="0" applyNumberFormat="1" applyBorder="1" applyAlignment="1">
      <alignment horizontal="center" vertical="center"/>
    </xf>
    <xf numFmtId="0" fontId="14" fillId="0" borderId="54" xfId="0" applyFont="1" applyBorder="1" applyAlignment="1">
      <alignment horizontal="center" vertical="center"/>
    </xf>
    <xf numFmtId="184" fontId="13" fillId="0" borderId="22" xfId="0" applyNumberFormat="1" applyFont="1" applyBorder="1">
      <alignment vertical="center"/>
    </xf>
    <xf numFmtId="0" fontId="13" fillId="0" borderId="22" xfId="0" applyFont="1" applyBorder="1">
      <alignment vertical="center"/>
    </xf>
    <xf numFmtId="0" fontId="14" fillId="2" borderId="62" xfId="0" applyFont="1" applyFill="1" applyBorder="1">
      <alignment vertical="center"/>
    </xf>
    <xf numFmtId="0" fontId="14" fillId="0" borderId="14" xfId="0" applyFont="1" applyBorder="1">
      <alignment vertical="center"/>
    </xf>
    <xf numFmtId="0" fontId="14" fillId="0" borderId="42" xfId="0" applyFont="1" applyBorder="1">
      <alignment vertical="center"/>
    </xf>
    <xf numFmtId="0" fontId="16" fillId="0" borderId="37" xfId="0" applyFont="1" applyBorder="1" applyAlignment="1">
      <alignment horizontal="center" vertical="center"/>
    </xf>
    <xf numFmtId="184" fontId="15" fillId="0" borderId="37" xfId="0" applyNumberFormat="1" applyFont="1" applyBorder="1">
      <alignment vertical="center"/>
    </xf>
    <xf numFmtId="0" fontId="15" fillId="0" borderId="37" xfId="0" applyFont="1" applyBorder="1">
      <alignment vertical="center"/>
    </xf>
    <xf numFmtId="0" fontId="14" fillId="2" borderId="38" xfId="0" applyFont="1" applyFill="1" applyBorder="1">
      <alignment vertical="center"/>
    </xf>
    <xf numFmtId="0" fontId="16" fillId="0" borderId="20" xfId="0" applyFont="1" applyBorder="1" applyAlignment="1">
      <alignment horizontal="center" vertical="center"/>
    </xf>
    <xf numFmtId="184" fontId="13" fillId="0" borderId="20" xfId="0" applyNumberFormat="1" applyFont="1" applyBorder="1">
      <alignment vertical="center"/>
    </xf>
    <xf numFmtId="0" fontId="13" fillId="0" borderId="20" xfId="0" applyFont="1" applyBorder="1">
      <alignment vertical="center"/>
    </xf>
    <xf numFmtId="0" fontId="14" fillId="2" borderId="56" xfId="0" applyFont="1" applyFill="1" applyBorder="1">
      <alignment vertical="center"/>
    </xf>
    <xf numFmtId="0" fontId="0" fillId="0" borderId="58" xfId="0" applyBorder="1">
      <alignment vertical="center"/>
    </xf>
    <xf numFmtId="0" fontId="0" fillId="0" borderId="37" xfId="0" applyBorder="1">
      <alignment vertical="center"/>
    </xf>
    <xf numFmtId="0" fontId="14" fillId="0" borderId="38" xfId="0" applyFont="1" applyBorder="1">
      <alignment vertical="center"/>
    </xf>
    <xf numFmtId="0" fontId="14" fillId="0" borderId="16" xfId="0" applyFont="1" applyBorder="1">
      <alignment vertical="center"/>
    </xf>
    <xf numFmtId="0" fontId="14" fillId="0" borderId="32" xfId="0" applyFont="1" applyBorder="1">
      <alignment vertical="center"/>
    </xf>
    <xf numFmtId="184" fontId="14" fillId="0" borderId="17" xfId="0" applyNumberFormat="1" applyFont="1" applyBorder="1">
      <alignment vertical="center"/>
    </xf>
    <xf numFmtId="0" fontId="14" fillId="0" borderId="66" xfId="0" applyFont="1" applyBorder="1">
      <alignment vertical="center"/>
    </xf>
    <xf numFmtId="0" fontId="14" fillId="0" borderId="23" xfId="0" applyFont="1" applyBorder="1">
      <alignment vertical="center"/>
    </xf>
    <xf numFmtId="184" fontId="0" fillId="0" borderId="69" xfId="0" applyNumberFormat="1" applyBorder="1">
      <alignment vertical="center"/>
    </xf>
    <xf numFmtId="0" fontId="0" fillId="0" borderId="14" xfId="0" applyBorder="1">
      <alignment vertical="center"/>
    </xf>
    <xf numFmtId="0" fontId="0" fillId="0" borderId="52" xfId="0" applyBorder="1">
      <alignment vertical="center"/>
    </xf>
    <xf numFmtId="0" fontId="0" fillId="0" borderId="50" xfId="0" applyBorder="1">
      <alignment vertical="center"/>
    </xf>
    <xf numFmtId="0" fontId="0" fillId="2" borderId="51" xfId="0" applyFill="1" applyBorder="1">
      <alignment vertical="center"/>
    </xf>
    <xf numFmtId="0" fontId="19" fillId="0" borderId="42" xfId="0" applyFont="1" applyBorder="1">
      <alignment vertical="center"/>
    </xf>
    <xf numFmtId="0" fontId="0" fillId="0" borderId="13" xfId="0" applyBorder="1" applyAlignment="1" applyProtection="1">
      <alignment horizontal="left" vertical="center"/>
      <protection locked="0"/>
    </xf>
    <xf numFmtId="0" fontId="14" fillId="0" borderId="25" xfId="0" applyFont="1" applyBorder="1" applyProtection="1">
      <alignment vertical="center"/>
      <protection locked="0"/>
    </xf>
    <xf numFmtId="0" fontId="23" fillId="0" borderId="13" xfId="0" applyFont="1" applyBorder="1" applyAlignment="1" applyProtection="1">
      <alignment horizontal="left" vertical="center"/>
      <protection locked="0"/>
    </xf>
    <xf numFmtId="0" fontId="0" fillId="0" borderId="27" xfId="0" applyBorder="1" applyProtection="1">
      <alignment vertical="center"/>
      <protection locked="0"/>
    </xf>
    <xf numFmtId="0" fontId="0" fillId="0" borderId="65" xfId="0" applyBorder="1" applyAlignment="1" applyProtection="1">
      <alignment horizontal="left" vertical="center"/>
      <protection locked="0"/>
    </xf>
    <xf numFmtId="0" fontId="25" fillId="0" borderId="65" xfId="0" applyFont="1" applyBorder="1" applyProtection="1">
      <alignment vertical="center"/>
      <protection locked="0"/>
    </xf>
    <xf numFmtId="0" fontId="23" fillId="0" borderId="65" xfId="0" applyFont="1" applyBorder="1" applyAlignment="1" applyProtection="1">
      <alignment horizontal="left" vertical="center"/>
      <protection locked="0"/>
    </xf>
    <xf numFmtId="0" fontId="14" fillId="0" borderId="64" xfId="0" applyFont="1" applyBorder="1" applyProtection="1">
      <alignment vertical="center"/>
      <protection locked="0"/>
    </xf>
    <xf numFmtId="0" fontId="0" fillId="0" borderId="47" xfId="0" applyBorder="1" applyProtection="1">
      <alignment vertical="center"/>
      <protection locked="0"/>
    </xf>
    <xf numFmtId="0" fontId="0" fillId="0" borderId="49" xfId="0" applyBorder="1" applyProtection="1">
      <alignment vertical="center"/>
      <protection locked="0"/>
    </xf>
    <xf numFmtId="0" fontId="0" fillId="0" borderId="26" xfId="0" applyBorder="1" applyProtection="1">
      <alignment vertical="center"/>
      <protection locked="0"/>
    </xf>
    <xf numFmtId="0" fontId="0" fillId="0" borderId="28" xfId="0" applyBorder="1" applyProtection="1">
      <alignment vertical="center"/>
      <protection locked="0"/>
    </xf>
    <xf numFmtId="0" fontId="0" fillId="0" borderId="16" xfId="0" applyBorder="1">
      <alignment vertical="center"/>
    </xf>
    <xf numFmtId="0" fontId="0" fillId="0" borderId="48" xfId="0" applyBorder="1" applyProtection="1">
      <alignment vertical="center"/>
      <protection locked="0"/>
    </xf>
    <xf numFmtId="0" fontId="14" fillId="0" borderId="49" xfId="0" applyFont="1" applyBorder="1" applyProtection="1">
      <alignment vertical="center"/>
      <protection locked="0"/>
    </xf>
    <xf numFmtId="0" fontId="14" fillId="0" borderId="28" xfId="0" applyFont="1" applyBorder="1" applyProtection="1">
      <alignment vertical="center"/>
      <protection locked="0"/>
    </xf>
    <xf numFmtId="0" fontId="14" fillId="0" borderId="15" xfId="0" applyFont="1" applyBorder="1">
      <alignment vertical="center"/>
    </xf>
    <xf numFmtId="0" fontId="14" fillId="0" borderId="90" xfId="0" applyFont="1" applyBorder="1">
      <alignment vertical="center"/>
    </xf>
    <xf numFmtId="0" fontId="14" fillId="0" borderId="91" xfId="0" applyFont="1" applyBorder="1" applyProtection="1">
      <alignment vertical="center"/>
      <protection locked="0"/>
    </xf>
    <xf numFmtId="0" fontId="19" fillId="0" borderId="40" xfId="0" applyFont="1" applyBorder="1">
      <alignment vertical="center"/>
    </xf>
    <xf numFmtId="184" fontId="0" fillId="0" borderId="18" xfId="0" applyNumberFormat="1" applyBorder="1">
      <alignment vertical="center"/>
    </xf>
    <xf numFmtId="0" fontId="0" fillId="0" borderId="20" xfId="0" applyBorder="1">
      <alignment vertical="center"/>
    </xf>
    <xf numFmtId="0" fontId="0" fillId="0" borderId="48" xfId="0" applyBorder="1" applyAlignment="1" applyProtection="1">
      <alignment horizontal="left" vertical="center"/>
      <protection locked="0"/>
    </xf>
    <xf numFmtId="0" fontId="0" fillId="0" borderId="98" xfId="0" applyBorder="1" applyAlignment="1" applyProtection="1">
      <alignment horizontal="left" vertical="center"/>
      <protection locked="0"/>
    </xf>
    <xf numFmtId="0" fontId="14" fillId="0" borderId="98" xfId="0" applyFont="1" applyBorder="1" applyProtection="1">
      <alignment vertical="center"/>
      <protection locked="0"/>
    </xf>
    <xf numFmtId="0" fontId="25" fillId="0" borderId="99" xfId="0" applyFont="1" applyBorder="1" applyProtection="1">
      <alignment vertical="center"/>
      <protection locked="0"/>
    </xf>
    <xf numFmtId="0" fontId="0" fillId="0" borderId="60" xfId="0" applyBorder="1" applyAlignment="1">
      <alignment horizontal="left" vertical="center"/>
    </xf>
    <xf numFmtId="0" fontId="23" fillId="0" borderId="40" xfId="0" applyFont="1" applyBorder="1" applyAlignment="1" applyProtection="1">
      <alignment horizontal="left" vertical="center"/>
      <protection locked="0"/>
    </xf>
    <xf numFmtId="0" fontId="19" fillId="0" borderId="48" xfId="0" applyFont="1" applyBorder="1">
      <alignment vertical="center"/>
    </xf>
    <xf numFmtId="0" fontId="19" fillId="0" borderId="15" xfId="0" applyFont="1" applyBorder="1">
      <alignment vertical="center"/>
    </xf>
    <xf numFmtId="0" fontId="28" fillId="0" borderId="65" xfId="0" applyFont="1" applyBorder="1" applyProtection="1">
      <alignment vertical="center"/>
      <protection locked="0"/>
    </xf>
    <xf numFmtId="0" fontId="28" fillId="0" borderId="82" xfId="0" applyFont="1" applyBorder="1" applyProtection="1">
      <alignment vertical="center"/>
      <protection locked="0"/>
    </xf>
    <xf numFmtId="0" fontId="19" fillId="0" borderId="46" xfId="0" applyFont="1" applyBorder="1">
      <alignment vertical="center"/>
    </xf>
    <xf numFmtId="0" fontId="19" fillId="0" borderId="20" xfId="0" applyFont="1" applyBorder="1">
      <alignment vertical="center"/>
    </xf>
    <xf numFmtId="0" fontId="18" fillId="0" borderId="17" xfId="0" applyFont="1" applyBorder="1" applyAlignment="1">
      <alignment horizontal="center" vertical="center"/>
    </xf>
    <xf numFmtId="0" fontId="0" fillId="0" borderId="0" xfId="0" applyAlignment="1" applyProtection="1">
      <protection locked="0"/>
    </xf>
    <xf numFmtId="0" fontId="2" fillId="0" borderId="0" xfId="0" applyFont="1" applyAlignment="1" applyProtection="1">
      <alignment horizontal="left" vertical="center"/>
      <protection locked="0"/>
    </xf>
    <xf numFmtId="0" fontId="5"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0" fontId="1" fillId="0" borderId="0" xfId="0" applyFont="1" applyAlignment="1" applyProtection="1">
      <alignment horizontal="left" vertical="center"/>
      <protection locked="0"/>
    </xf>
    <xf numFmtId="0" fontId="31" fillId="0" borderId="0" xfId="0" applyFont="1" applyAlignment="1" applyProtection="1">
      <alignment horizontal="left" vertical="center"/>
      <protection locked="0"/>
    </xf>
    <xf numFmtId="183" fontId="14" fillId="0" borderId="0" xfId="0" applyNumberFormat="1" applyFont="1">
      <alignment vertical="center"/>
    </xf>
    <xf numFmtId="0" fontId="32" fillId="0" borderId="0" xfId="0" applyFont="1">
      <alignment vertical="center"/>
    </xf>
    <xf numFmtId="2" fontId="32" fillId="0" borderId="0" xfId="0" applyNumberFormat="1" applyFont="1">
      <alignment vertical="center"/>
    </xf>
    <xf numFmtId="184" fontId="0" fillId="0" borderId="50" xfId="0" applyNumberFormat="1" applyBorder="1" applyAlignment="1">
      <alignment horizontal="left" vertical="center"/>
    </xf>
    <xf numFmtId="183" fontId="0" fillId="0" borderId="100" xfId="0" applyNumberFormat="1" applyBorder="1" applyAlignment="1" applyProtection="1">
      <alignment horizontal="left" vertical="center"/>
      <protection locked="0"/>
    </xf>
    <xf numFmtId="0" fontId="28" fillId="0" borderId="98" xfId="0" applyFont="1" applyBorder="1" applyProtection="1">
      <alignment vertical="center"/>
      <protection locked="0"/>
    </xf>
    <xf numFmtId="0" fontId="33" fillId="0" borderId="0" xfId="0" applyFont="1">
      <alignment vertical="center"/>
    </xf>
    <xf numFmtId="2" fontId="14" fillId="0" borderId="0" xfId="0" applyNumberFormat="1" applyFont="1">
      <alignment vertical="center"/>
    </xf>
    <xf numFmtId="180" fontId="33" fillId="0" borderId="0" xfId="0" applyNumberFormat="1" applyFont="1">
      <alignment vertical="center"/>
    </xf>
    <xf numFmtId="180" fontId="14" fillId="0" borderId="0" xfId="0" applyNumberFormat="1" applyFont="1">
      <alignment vertical="center"/>
    </xf>
    <xf numFmtId="179" fontId="33" fillId="0" borderId="0" xfId="0" applyNumberFormat="1" applyFont="1">
      <alignment vertical="center"/>
    </xf>
    <xf numFmtId="179" fontId="14" fillId="0" borderId="0" xfId="0" applyNumberFormat="1" applyFont="1">
      <alignment vertical="center"/>
    </xf>
    <xf numFmtId="181" fontId="33" fillId="0" borderId="0" xfId="0" applyNumberFormat="1" applyFont="1">
      <alignment vertical="center"/>
    </xf>
    <xf numFmtId="181" fontId="14" fillId="0" borderId="0" xfId="0" applyNumberFormat="1" applyFont="1">
      <alignment vertical="center"/>
    </xf>
    <xf numFmtId="0" fontId="34" fillId="0" borderId="0" xfId="0"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2" fillId="0" borderId="0" xfId="0" applyFont="1" applyProtection="1">
      <alignment vertical="center"/>
      <protection locked="0"/>
    </xf>
    <xf numFmtId="0" fontId="32" fillId="0" borderId="0" xfId="0" applyFont="1" applyAlignment="1">
      <alignment horizontal="center" vertical="center"/>
    </xf>
    <xf numFmtId="0" fontId="8" fillId="0" borderId="0" xfId="0" applyFont="1" applyProtection="1">
      <alignment vertical="center"/>
      <protection locked="0"/>
    </xf>
    <xf numFmtId="0" fontId="9" fillId="0" borderId="0" xfId="0" applyFont="1" applyProtection="1">
      <alignment vertical="center"/>
      <protection locked="0"/>
    </xf>
    <xf numFmtId="0" fontId="7" fillId="0" borderId="0" xfId="0" applyFont="1" applyProtection="1">
      <alignment vertical="center"/>
      <protection locked="0"/>
    </xf>
    <xf numFmtId="0" fontId="0" fillId="0" borderId="1" xfId="0" applyBorder="1" applyProtection="1">
      <alignment vertical="center"/>
      <protection locked="0"/>
    </xf>
    <xf numFmtId="0" fontId="0" fillId="0" borderId="0" xfId="0" applyAlignment="1" applyProtection="1">
      <alignment horizontal="left" vertical="center"/>
      <protection locked="0"/>
    </xf>
    <xf numFmtId="0" fontId="34" fillId="0" borderId="0" xfId="0" applyFont="1" applyAlignment="1">
      <alignment horizontal="center" vertical="center"/>
    </xf>
    <xf numFmtId="0" fontId="0" fillId="0" borderId="1" xfId="0" applyBorder="1">
      <alignment vertical="center"/>
    </xf>
    <xf numFmtId="0" fontId="1" fillId="0" borderId="0" xfId="0" applyFont="1">
      <alignment vertical="center"/>
    </xf>
    <xf numFmtId="0" fontId="0" fillId="0" borderId="1" xfId="0" applyBorder="1" applyAlignment="1">
      <alignment vertical="center" wrapText="1"/>
    </xf>
    <xf numFmtId="41" fontId="4" fillId="0" borderId="2" xfId="0" applyNumberFormat="1" applyFont="1" applyBorder="1" applyAlignment="1">
      <alignment horizontal="center" vertical="center"/>
    </xf>
    <xf numFmtId="0" fontId="36" fillId="0" borderId="0" xfId="0" applyFont="1" applyProtection="1">
      <alignment vertical="center"/>
      <protection locked="0"/>
    </xf>
    <xf numFmtId="0" fontId="38" fillId="0" borderId="0" xfId="0" applyFont="1" applyProtection="1">
      <alignment vertical="center"/>
      <protection locked="0"/>
    </xf>
    <xf numFmtId="0" fontId="39" fillId="0" borderId="0" xfId="0" applyFont="1" applyProtection="1">
      <alignment vertical="center"/>
      <protection locked="0"/>
    </xf>
    <xf numFmtId="0" fontId="39" fillId="0" borderId="0" xfId="0" applyFont="1" applyAlignment="1" applyProtection="1">
      <alignment horizontal="center" vertical="center"/>
      <protection locked="0"/>
    </xf>
    <xf numFmtId="0" fontId="41" fillId="0" borderId="0" xfId="0" applyFont="1" applyProtection="1">
      <alignment vertical="center"/>
      <protection locked="0"/>
    </xf>
    <xf numFmtId="0" fontId="41" fillId="0" borderId="15" xfId="0" applyFont="1" applyBorder="1" applyAlignment="1" applyProtection="1">
      <alignment horizontal="center" vertical="center"/>
      <protection locked="0"/>
    </xf>
    <xf numFmtId="187" fontId="41" fillId="0" borderId="15" xfId="0" applyNumberFormat="1" applyFont="1" applyBorder="1" applyAlignment="1" applyProtection="1">
      <alignment horizontal="center" vertical="center"/>
      <protection locked="0"/>
    </xf>
    <xf numFmtId="5" fontId="41" fillId="0" borderId="123" xfId="0" applyNumberFormat="1" applyFont="1" applyBorder="1" applyAlignment="1">
      <alignment horizontal="center" vertical="center"/>
    </xf>
    <xf numFmtId="0" fontId="41" fillId="0" borderId="13" xfId="0" applyFont="1" applyBorder="1" applyAlignment="1" applyProtection="1">
      <alignment horizontal="center" vertical="center"/>
      <protection locked="0"/>
    </xf>
    <xf numFmtId="187" fontId="41" fillId="0" borderId="13" xfId="0" applyNumberFormat="1" applyFont="1" applyBorder="1" applyAlignment="1" applyProtection="1">
      <alignment horizontal="center" vertical="center"/>
      <protection locked="0"/>
    </xf>
    <xf numFmtId="5" fontId="41" fillId="0" borderId="30" xfId="0" applyNumberFormat="1" applyFont="1" applyBorder="1" applyAlignment="1">
      <alignment horizontal="center" vertical="center"/>
    </xf>
    <xf numFmtId="0" fontId="41" fillId="0" borderId="80" xfId="0" applyFont="1" applyBorder="1" applyAlignment="1" applyProtection="1">
      <alignment horizontal="center" vertical="center"/>
      <protection locked="0"/>
    </xf>
    <xf numFmtId="187" fontId="41" fillId="0" borderId="80" xfId="0" applyNumberFormat="1" applyFont="1" applyBorder="1" applyAlignment="1" applyProtection="1">
      <alignment horizontal="center" vertical="center"/>
      <protection locked="0"/>
    </xf>
    <xf numFmtId="5" fontId="41" fillId="0" borderId="121" xfId="0" applyNumberFormat="1" applyFont="1" applyBorder="1" applyAlignment="1">
      <alignment horizontal="center" vertical="center"/>
    </xf>
    <xf numFmtId="0" fontId="41" fillId="0" borderId="0" xfId="0" applyFont="1">
      <alignment vertical="center"/>
    </xf>
    <xf numFmtId="0" fontId="43" fillId="0" borderId="0" xfId="0" applyFont="1" applyProtection="1">
      <alignment vertical="center"/>
      <protection locked="0"/>
    </xf>
    <xf numFmtId="0" fontId="43" fillId="0" borderId="0" xfId="0" applyFont="1" applyAlignment="1" applyProtection="1">
      <alignment horizontal="center" vertical="center"/>
      <protection locked="0"/>
    </xf>
    <xf numFmtId="14" fontId="48" fillId="0" borderId="0" xfId="0" applyNumberFormat="1" applyFont="1" applyAlignment="1">
      <alignment horizontal="left" vertical="center"/>
    </xf>
    <xf numFmtId="0" fontId="49" fillId="0" borderId="0" xfId="0" applyFont="1" applyProtection="1">
      <alignment vertical="center"/>
      <protection locked="0"/>
    </xf>
    <xf numFmtId="0" fontId="50" fillId="0" borderId="0" xfId="0" applyFont="1" applyProtection="1">
      <alignment vertical="center"/>
      <protection locked="0"/>
    </xf>
    <xf numFmtId="0" fontId="51" fillId="0" borderId="0" xfId="0" applyFont="1" applyProtection="1">
      <alignment vertical="center"/>
      <protection locked="0"/>
    </xf>
    <xf numFmtId="0" fontId="32" fillId="0" borderId="0" xfId="0" applyFont="1" applyAlignment="1" applyProtection="1">
      <protection locked="0"/>
    </xf>
    <xf numFmtId="14" fontId="47" fillId="0" borderId="0" xfId="0" applyNumberFormat="1" applyFont="1" applyAlignment="1" applyProtection="1">
      <alignment horizontal="right" vertical="center"/>
      <protection locked="0"/>
    </xf>
    <xf numFmtId="0" fontId="52" fillId="3" borderId="96" xfId="0" applyFont="1" applyFill="1" applyBorder="1" applyAlignment="1" applyProtection="1">
      <alignment horizontal="center" vertical="center"/>
      <protection locked="0"/>
    </xf>
    <xf numFmtId="0" fontId="52" fillId="3" borderId="116" xfId="0" applyFont="1" applyFill="1" applyBorder="1" applyAlignment="1" applyProtection="1">
      <alignment horizontal="center" vertical="center"/>
      <protection locked="0"/>
    </xf>
    <xf numFmtId="0" fontId="41" fillId="4" borderId="13" xfId="0" applyFont="1" applyFill="1" applyBorder="1" applyAlignment="1" applyProtection="1">
      <alignment horizontal="center" vertical="center"/>
      <protection locked="0"/>
    </xf>
    <xf numFmtId="187" fontId="41" fillId="4" borderId="13" xfId="0" applyNumberFormat="1" applyFont="1" applyFill="1" applyBorder="1" applyAlignment="1" applyProtection="1">
      <alignment horizontal="center" vertical="center"/>
      <protection locked="0"/>
    </xf>
    <xf numFmtId="5" fontId="41" fillId="4" borderId="30" xfId="0" applyNumberFormat="1" applyFont="1" applyFill="1" applyBorder="1" applyAlignment="1">
      <alignment horizontal="center" vertical="center"/>
    </xf>
    <xf numFmtId="176" fontId="53" fillId="3" borderId="122" xfId="0" applyNumberFormat="1" applyFont="1" applyFill="1" applyBorder="1" applyAlignment="1">
      <alignment horizontal="center" vertical="center"/>
    </xf>
    <xf numFmtId="176" fontId="53" fillId="3" borderId="119" xfId="0" applyNumberFormat="1" applyFont="1" applyFill="1" applyBorder="1" applyAlignment="1">
      <alignment horizontal="center" vertical="center"/>
    </xf>
    <xf numFmtId="176" fontId="53" fillId="3" borderId="120" xfId="0" applyNumberFormat="1" applyFont="1" applyFill="1" applyBorder="1" applyAlignment="1">
      <alignment horizontal="center" vertical="center"/>
    </xf>
    <xf numFmtId="0" fontId="48" fillId="0" borderId="0" xfId="0" applyFont="1">
      <alignment vertical="center"/>
    </xf>
    <xf numFmtId="177" fontId="42" fillId="0" borderId="0" xfId="1" applyNumberFormat="1" applyFont="1" applyProtection="1">
      <alignment vertical="center"/>
      <protection locked="0"/>
    </xf>
    <xf numFmtId="177" fontId="43" fillId="0" borderId="0" xfId="1" applyNumberFormat="1" applyFont="1" applyProtection="1">
      <alignment vertical="center"/>
      <protection locked="0"/>
    </xf>
    <xf numFmtId="0" fontId="52" fillId="3" borderId="124" xfId="0" applyFont="1" applyFill="1" applyBorder="1" applyAlignment="1" applyProtection="1">
      <alignment horizontal="center" vertical="center"/>
      <protection locked="0"/>
    </xf>
    <xf numFmtId="0" fontId="52" fillId="3" borderId="126" xfId="0" applyFont="1" applyFill="1" applyBorder="1" applyAlignment="1" applyProtection="1">
      <alignment horizontal="center" vertical="center"/>
      <protection locked="0"/>
    </xf>
    <xf numFmtId="0" fontId="52" fillId="3" borderId="1" xfId="0" applyFont="1" applyFill="1" applyBorder="1" applyAlignment="1">
      <alignment horizontal="center" vertical="center"/>
    </xf>
    <xf numFmtId="0" fontId="52" fillId="3" borderId="1" xfId="0" applyFont="1" applyFill="1" applyBorder="1" applyAlignment="1" applyProtection="1">
      <alignment horizontal="center" vertical="center"/>
      <protection locked="0"/>
    </xf>
    <xf numFmtId="49" fontId="56" fillId="0" borderId="110" xfId="0" applyNumberFormat="1" applyFont="1" applyBorder="1" applyAlignment="1" applyProtection="1">
      <alignment horizontal="center" vertical="center" wrapText="1"/>
      <protection locked="0"/>
    </xf>
    <xf numFmtId="0" fontId="60" fillId="0" borderId="103" xfId="0" applyFont="1" applyBorder="1" applyAlignment="1">
      <alignment horizontal="center" vertical="center"/>
    </xf>
    <xf numFmtId="0" fontId="60" fillId="0" borderId="103" xfId="0" applyFont="1" applyBorder="1" applyAlignment="1" applyProtection="1">
      <alignment horizontal="center" vertical="center"/>
      <protection locked="0"/>
    </xf>
    <xf numFmtId="188" fontId="60" fillId="0" borderId="103" xfId="0" applyNumberFormat="1" applyFont="1" applyBorder="1" applyAlignment="1">
      <alignment horizontal="center" vertical="center"/>
    </xf>
    <xf numFmtId="41" fontId="60" fillId="0" borderId="30" xfId="0" applyNumberFormat="1" applyFont="1" applyBorder="1" applyAlignment="1">
      <alignment horizontal="center" vertical="center"/>
    </xf>
    <xf numFmtId="49" fontId="56" fillId="0" borderId="110" xfId="0" applyNumberFormat="1" applyFont="1" applyBorder="1" applyAlignment="1" applyProtection="1">
      <alignment horizontal="center" vertical="center"/>
      <protection locked="0"/>
    </xf>
    <xf numFmtId="0" fontId="60" fillId="0" borderId="15" xfId="0" applyFont="1" applyBorder="1" applyAlignment="1">
      <alignment horizontal="center" vertical="center"/>
    </xf>
    <xf numFmtId="0" fontId="60" fillId="0" borderId="13" xfId="0" applyFont="1" applyBorder="1" applyAlignment="1" applyProtection="1">
      <alignment horizontal="center" vertical="center"/>
      <protection locked="0"/>
    </xf>
    <xf numFmtId="188" fontId="60" fillId="0" borderId="13" xfId="0" applyNumberFormat="1" applyFont="1" applyBorder="1" applyAlignment="1">
      <alignment horizontal="center" vertical="center"/>
    </xf>
    <xf numFmtId="0" fontId="60" fillId="0" borderId="13" xfId="0" applyFont="1" applyBorder="1" applyAlignment="1">
      <alignment horizontal="center" vertical="center"/>
    </xf>
    <xf numFmtId="0" fontId="61" fillId="0" borderId="0" xfId="0" applyFont="1" applyAlignment="1" applyProtection="1">
      <alignment horizontal="left" vertical="center"/>
      <protection locked="0"/>
    </xf>
    <xf numFmtId="49" fontId="56" fillId="0" borderId="112" xfId="0" applyNumberFormat="1" applyFont="1" applyBorder="1" applyAlignment="1" applyProtection="1">
      <alignment horizontal="center" vertical="center"/>
      <protection locked="0"/>
    </xf>
    <xf numFmtId="0" fontId="60" fillId="0" borderId="80" xfId="0" applyFont="1" applyBorder="1" applyAlignment="1">
      <alignment horizontal="center" vertical="center"/>
    </xf>
    <xf numFmtId="0" fontId="60" fillId="0" borderId="80" xfId="0" applyFont="1" applyBorder="1" applyAlignment="1" applyProtection="1">
      <alignment horizontal="center" vertical="center"/>
      <protection locked="0"/>
    </xf>
    <xf numFmtId="188" fontId="60" fillId="0" borderId="80" xfId="0" applyNumberFormat="1" applyFont="1" applyBorder="1" applyAlignment="1">
      <alignment horizontal="center" vertical="center"/>
    </xf>
    <xf numFmtId="41" fontId="60" fillId="0" borderId="121" xfId="0" applyNumberFormat="1" applyFont="1" applyBorder="1" applyAlignment="1">
      <alignment horizontal="center" vertical="center"/>
    </xf>
    <xf numFmtId="0" fontId="0" fillId="0" borderId="0" xfId="0" applyAlignment="1">
      <alignment vertical="center" wrapText="1"/>
    </xf>
    <xf numFmtId="0" fontId="66" fillId="0" borderId="0" xfId="0" applyFont="1" applyAlignment="1" applyProtection="1">
      <alignment horizontal="left" vertical="top"/>
      <protection locked="0"/>
    </xf>
    <xf numFmtId="0" fontId="68" fillId="0" borderId="0" xfId="0" applyFont="1" applyAlignment="1">
      <alignment horizontal="center" vertical="center"/>
    </xf>
    <xf numFmtId="0" fontId="68" fillId="0" borderId="0" xfId="0" applyFont="1" applyAlignment="1">
      <alignment horizontal="left" vertical="center"/>
    </xf>
    <xf numFmtId="0" fontId="68" fillId="0" borderId="1" xfId="0" applyFont="1" applyBorder="1" applyAlignment="1">
      <alignment horizontal="center" vertical="center"/>
    </xf>
    <xf numFmtId="0" fontId="69" fillId="0" borderId="0" xfId="0" applyFont="1" applyAlignment="1">
      <alignment horizontal="center" vertical="center"/>
    </xf>
    <xf numFmtId="176" fontId="74" fillId="0" borderId="0" xfId="3" applyNumberFormat="1" applyFont="1" applyAlignment="1">
      <alignment vertical="center"/>
    </xf>
    <xf numFmtId="176" fontId="75" fillId="0" borderId="0" xfId="0" applyNumberFormat="1" applyFont="1">
      <alignment vertical="center"/>
    </xf>
    <xf numFmtId="176" fontId="76" fillId="0" borderId="0" xfId="0" applyNumberFormat="1" applyFont="1" applyAlignment="1">
      <alignment horizontal="center" vertical="center"/>
    </xf>
    <xf numFmtId="176" fontId="78" fillId="0" borderId="0" xfId="3" applyNumberFormat="1" applyFont="1" applyAlignment="1">
      <alignment horizontal="right" vertical="center"/>
    </xf>
    <xf numFmtId="176" fontId="75" fillId="0" borderId="0" xfId="3" applyNumberFormat="1" applyFont="1" applyAlignment="1">
      <alignment horizontal="left" vertical="center"/>
    </xf>
    <xf numFmtId="176" fontId="0" fillId="0" borderId="0" xfId="0" applyNumberFormat="1">
      <alignment vertical="center"/>
    </xf>
    <xf numFmtId="176" fontId="66" fillId="0" borderId="0" xfId="3" applyNumberFormat="1" applyFont="1" applyAlignment="1">
      <alignment vertical="center"/>
    </xf>
    <xf numFmtId="176" fontId="79" fillId="0" borderId="0" xfId="5" applyNumberFormat="1" applyFont="1">
      <alignment vertical="center"/>
    </xf>
    <xf numFmtId="176" fontId="74" fillId="0" borderId="0" xfId="3" applyNumberFormat="1" applyFont="1" applyAlignment="1">
      <alignment horizontal="left" vertical="center"/>
    </xf>
    <xf numFmtId="176" fontId="81" fillId="0" borderId="0" xfId="0" applyNumberFormat="1" applyFont="1">
      <alignment vertical="center"/>
    </xf>
    <xf numFmtId="176" fontId="82" fillId="0" borderId="0" xfId="0" applyNumberFormat="1" applyFont="1">
      <alignment vertical="center"/>
    </xf>
    <xf numFmtId="176" fontId="0" fillId="0" borderId="0" xfId="0" applyNumberFormat="1" applyAlignment="1">
      <alignment horizontal="center" vertical="center"/>
    </xf>
    <xf numFmtId="176" fontId="83" fillId="0" borderId="0" xfId="5" applyNumberFormat="1" applyFont="1">
      <alignment vertical="center"/>
    </xf>
    <xf numFmtId="176" fontId="74" fillId="0" borderId="0" xfId="3" applyNumberFormat="1" applyFont="1" applyAlignment="1">
      <alignment horizontal="center" vertical="center"/>
    </xf>
    <xf numFmtId="176" fontId="83" fillId="0" borderId="0" xfId="3" applyNumberFormat="1" applyFont="1" applyAlignment="1">
      <alignment vertical="center"/>
    </xf>
    <xf numFmtId="176" fontId="67" fillId="0" borderId="0" xfId="3" applyNumberFormat="1" applyFont="1" applyAlignment="1">
      <alignment vertical="center"/>
    </xf>
    <xf numFmtId="176" fontId="35" fillId="0" borderId="0" xfId="5" applyNumberFormat="1" applyFont="1">
      <alignment vertical="center"/>
    </xf>
    <xf numFmtId="176" fontId="83" fillId="0" borderId="0" xfId="3" applyNumberFormat="1" applyFont="1" applyAlignment="1">
      <alignment horizontal="left" vertical="center"/>
    </xf>
    <xf numFmtId="176" fontId="84" fillId="0" borderId="0" xfId="3" applyNumberFormat="1" applyFont="1" applyAlignment="1">
      <alignment horizontal="left" vertical="center"/>
    </xf>
    <xf numFmtId="0" fontId="68" fillId="0" borderId="2" xfId="0" applyFont="1" applyBorder="1" applyAlignment="1">
      <alignment horizontal="center" vertical="center"/>
    </xf>
    <xf numFmtId="0" fontId="87" fillId="0" borderId="0" xfId="0" applyFont="1">
      <alignment vertical="center"/>
    </xf>
    <xf numFmtId="0" fontId="68" fillId="0" borderId="0" xfId="0" applyFont="1" applyAlignment="1">
      <alignment horizontal="right" vertical="center"/>
    </xf>
    <xf numFmtId="0" fontId="88" fillId="0" borderId="0" xfId="0" applyFont="1">
      <alignment vertical="center"/>
    </xf>
    <xf numFmtId="0" fontId="88" fillId="0" borderId="0" xfId="0" applyFont="1" applyAlignment="1">
      <alignment horizontal="center" vertical="center"/>
    </xf>
    <xf numFmtId="0" fontId="90" fillId="0" borderId="0" xfId="0" applyFont="1">
      <alignment vertical="center"/>
    </xf>
    <xf numFmtId="0" fontId="68" fillId="0" borderId="0" xfId="0" applyFont="1">
      <alignment vertical="center"/>
    </xf>
    <xf numFmtId="0" fontId="68" fillId="0" borderId="0" xfId="0" applyFont="1" applyAlignment="1">
      <alignment vertical="center" wrapText="1"/>
    </xf>
    <xf numFmtId="0" fontId="87" fillId="0" borderId="0" xfId="0" applyFont="1" applyAlignment="1">
      <alignment horizontal="left" vertical="center"/>
    </xf>
    <xf numFmtId="0" fontId="87" fillId="0" borderId="0" xfId="0" applyFont="1" applyAlignment="1">
      <alignment horizontal="center" vertical="center"/>
    </xf>
    <xf numFmtId="0" fontId="87" fillId="0" borderId="0" xfId="0" applyFont="1" applyAlignment="1">
      <alignment horizontal="center" vertical="center" wrapText="1"/>
    </xf>
    <xf numFmtId="0" fontId="0" fillId="0" borderId="0" xfId="0" applyAlignment="1">
      <alignment horizontal="center" vertical="center"/>
    </xf>
    <xf numFmtId="0" fontId="92" fillId="0" borderId="0" xfId="3" applyFont="1" applyAlignment="1">
      <alignment vertical="center"/>
    </xf>
    <xf numFmtId="0" fontId="78" fillId="0" borderId="0" xfId="0" applyFont="1">
      <alignment vertical="center"/>
    </xf>
    <xf numFmtId="0" fontId="78" fillId="0" borderId="0" xfId="0" applyFont="1" applyAlignment="1">
      <alignment horizontal="right" vertical="center"/>
    </xf>
    <xf numFmtId="0" fontId="93" fillId="0" borderId="0" xfId="3" applyFont="1" applyAlignment="1">
      <alignment horizontal="left" vertical="center"/>
    </xf>
    <xf numFmtId="0" fontId="66" fillId="0" borderId="0" xfId="3" applyFont="1" applyAlignment="1">
      <alignment vertical="center"/>
    </xf>
    <xf numFmtId="0" fontId="78" fillId="0" borderId="0" xfId="3" applyFont="1" applyAlignment="1">
      <alignment horizontal="right" vertical="center"/>
    </xf>
    <xf numFmtId="189" fontId="92" fillId="0" borderId="142" xfId="3" applyNumberFormat="1" applyFont="1" applyBorder="1" applyAlignment="1">
      <alignment horizontal="center" vertical="center"/>
    </xf>
    <xf numFmtId="0" fontId="78" fillId="0" borderId="0" xfId="3" applyFont="1" applyAlignment="1">
      <alignment vertical="center"/>
    </xf>
    <xf numFmtId="0" fontId="95" fillId="0" borderId="144" xfId="3" applyFont="1" applyBorder="1" applyAlignment="1">
      <alignment vertical="center"/>
    </xf>
    <xf numFmtId="0" fontId="95" fillId="0" borderId="0" xfId="3" applyFont="1" applyAlignment="1">
      <alignment vertical="center"/>
    </xf>
    <xf numFmtId="0" fontId="78" fillId="0" borderId="0" xfId="3" applyFont="1" applyAlignment="1">
      <alignment horizontal="left" vertical="center"/>
    </xf>
    <xf numFmtId="0" fontId="77" fillId="0" borderId="0" xfId="3" applyFont="1" applyAlignment="1">
      <alignment vertical="center"/>
    </xf>
    <xf numFmtId="0" fontId="77" fillId="0" borderId="0" xfId="5" applyFont="1">
      <alignment vertical="center"/>
    </xf>
    <xf numFmtId="0" fontId="92" fillId="0" borderId="0" xfId="3" applyFont="1" applyAlignment="1">
      <alignment horizontal="left" vertical="center"/>
    </xf>
    <xf numFmtId="0" fontId="92" fillId="5" borderId="145" xfId="3" applyFont="1" applyFill="1" applyBorder="1" applyAlignment="1">
      <alignment horizontal="center" vertical="center"/>
    </xf>
    <xf numFmtId="190" fontId="94" fillId="0" borderId="146" xfId="3" applyNumberFormat="1" applyFont="1" applyBorder="1" applyAlignment="1">
      <alignment horizontal="center" vertical="center"/>
    </xf>
    <xf numFmtId="0" fontId="92" fillId="5" borderId="148" xfId="3" applyFont="1" applyFill="1" applyBorder="1" applyAlignment="1">
      <alignment horizontal="center" vertical="center"/>
    </xf>
    <xf numFmtId="0" fontId="92" fillId="5" borderId="149" xfId="3" applyFont="1" applyFill="1" applyBorder="1" applyAlignment="1">
      <alignment horizontal="center" vertical="center"/>
    </xf>
    <xf numFmtId="0" fontId="92" fillId="0" borderId="149" xfId="3" applyFont="1" applyBorder="1" applyAlignment="1">
      <alignment horizontal="center" vertical="center"/>
    </xf>
    <xf numFmtId="0" fontId="92" fillId="0" borderId="149" xfId="4" applyNumberFormat="1" applyFont="1" applyBorder="1" applyAlignment="1">
      <alignment vertical="center"/>
    </xf>
    <xf numFmtId="191" fontId="92" fillId="0" borderId="148" xfId="3" applyNumberFormat="1" applyFont="1" applyBorder="1" applyAlignment="1">
      <alignment vertical="center"/>
    </xf>
    <xf numFmtId="0" fontId="92" fillId="0" borderId="152" xfId="3" applyFont="1" applyBorder="1" applyAlignment="1">
      <alignment horizontal="center" vertical="center"/>
    </xf>
    <xf numFmtId="0" fontId="92" fillId="0" borderId="153" xfId="3" applyFont="1" applyBorder="1" applyAlignment="1">
      <alignment horizontal="center" vertical="center"/>
    </xf>
    <xf numFmtId="0" fontId="92" fillId="0" borderId="152" xfId="4" applyNumberFormat="1" applyFont="1" applyBorder="1" applyAlignment="1">
      <alignment vertical="center"/>
    </xf>
    <xf numFmtId="0" fontId="92" fillId="0" borderId="144" xfId="3" applyFont="1" applyBorder="1" applyAlignment="1">
      <alignment vertical="center"/>
    </xf>
    <xf numFmtId="0" fontId="92" fillId="0" borderId="154" xfId="3" applyFont="1" applyBorder="1" applyAlignment="1">
      <alignment vertical="center"/>
    </xf>
    <xf numFmtId="0" fontId="92" fillId="5" borderId="155" xfId="4" applyNumberFormat="1" applyFont="1" applyFill="1" applyBorder="1" applyAlignment="1">
      <alignment horizontal="center" vertical="center"/>
    </xf>
    <xf numFmtId="191" fontId="92" fillId="0" borderId="154" xfId="3" applyNumberFormat="1" applyFont="1" applyBorder="1" applyAlignment="1">
      <alignment vertical="center"/>
    </xf>
    <xf numFmtId="0" fontId="92" fillId="5" borderId="149" xfId="4" applyNumberFormat="1" applyFont="1" applyFill="1" applyBorder="1" applyAlignment="1">
      <alignment horizontal="center" vertical="center"/>
    </xf>
    <xf numFmtId="191" fontId="92" fillId="0" borderId="149" xfId="3" applyNumberFormat="1" applyFont="1" applyBorder="1" applyAlignment="1">
      <alignment horizontal="right" vertical="center"/>
    </xf>
    <xf numFmtId="191" fontId="92" fillId="0" borderId="149" xfId="3" applyNumberFormat="1" applyFont="1" applyBorder="1" applyAlignment="1">
      <alignment vertical="center"/>
    </xf>
    <xf numFmtId="0" fontId="78" fillId="0" borderId="0" xfId="0" applyFont="1" applyAlignment="1">
      <alignment horizontal="center" vertical="center"/>
    </xf>
    <xf numFmtId="14" fontId="78" fillId="0" borderId="0" xfId="0" applyNumberFormat="1" applyFont="1">
      <alignment vertical="center"/>
    </xf>
    <xf numFmtId="41" fontId="78" fillId="0" borderId="0" xfId="3" applyNumberFormat="1" applyFont="1" applyAlignment="1">
      <alignment horizontal="left" vertical="center"/>
    </xf>
    <xf numFmtId="41" fontId="78" fillId="0" borderId="0" xfId="3" applyNumberFormat="1" applyFont="1" applyAlignment="1">
      <alignment vertical="center"/>
    </xf>
    <xf numFmtId="41" fontId="74" fillId="0" borderId="0" xfId="3" applyNumberFormat="1" applyFont="1" applyAlignment="1">
      <alignment vertical="center"/>
    </xf>
    <xf numFmtId="41" fontId="75" fillId="0" borderId="0" xfId="3" applyNumberFormat="1" applyFont="1" applyAlignment="1">
      <alignment horizontal="left" vertical="center"/>
    </xf>
    <xf numFmtId="41" fontId="78" fillId="0" borderId="0" xfId="3" applyNumberFormat="1" applyFont="1" applyAlignment="1">
      <alignment horizontal="center" vertical="center"/>
    </xf>
    <xf numFmtId="41" fontId="80" fillId="0" borderId="0" xfId="3" applyNumberFormat="1" applyFont="1" applyAlignment="1">
      <alignment horizontal="left" vertical="center"/>
    </xf>
    <xf numFmtId="41" fontId="77" fillId="0" borderId="0" xfId="3" applyNumberFormat="1" applyFont="1" applyAlignment="1">
      <alignment horizontal="left" vertical="center"/>
    </xf>
    <xf numFmtId="41" fontId="77" fillId="0" borderId="0" xfId="3" applyNumberFormat="1" applyFont="1" applyAlignment="1">
      <alignment horizontal="right" vertical="center"/>
    </xf>
    <xf numFmtId="41" fontId="74" fillId="0" borderId="0" xfId="3" applyNumberFormat="1" applyFont="1" applyAlignment="1">
      <alignment horizontal="left" vertical="center"/>
    </xf>
    <xf numFmtId="41" fontId="0" fillId="0" borderId="0" xfId="0" applyNumberFormat="1">
      <alignment vertical="center"/>
    </xf>
    <xf numFmtId="0" fontId="90" fillId="0" borderId="0" xfId="0" applyFont="1" applyAlignment="1">
      <alignment horizontal="left" vertical="center"/>
    </xf>
    <xf numFmtId="0" fontId="96" fillId="0" borderId="0" xfId="0" applyFont="1" applyAlignment="1">
      <alignment horizontal="left" vertical="center"/>
    </xf>
    <xf numFmtId="0" fontId="78" fillId="0" borderId="0" xfId="3" applyFont="1" applyAlignment="1">
      <alignment horizontal="left" vertical="center"/>
    </xf>
    <xf numFmtId="0" fontId="73" fillId="0" borderId="0" xfId="5" applyFont="1" applyAlignment="1">
      <alignment horizontal="center" vertical="center"/>
    </xf>
    <xf numFmtId="0" fontId="94" fillId="0" borderId="143" xfId="3" applyFont="1" applyBorder="1" applyAlignment="1">
      <alignment horizontal="left" vertical="center"/>
    </xf>
    <xf numFmtId="0" fontId="77" fillId="0" borderId="0" xfId="3" applyFont="1" applyAlignment="1">
      <alignment horizontal="left" vertical="center"/>
    </xf>
    <xf numFmtId="0" fontId="92" fillId="0" borderId="147" xfId="3" applyFont="1" applyBorder="1" applyAlignment="1">
      <alignment horizontal="center" vertical="center"/>
    </xf>
    <xf numFmtId="0" fontId="92" fillId="0" borderId="148" xfId="3" applyFont="1" applyBorder="1" applyAlignment="1">
      <alignment horizontal="center" vertical="center"/>
    </xf>
    <xf numFmtId="0" fontId="92" fillId="5" borderId="147" xfId="3" applyFont="1" applyFill="1" applyBorder="1" applyAlignment="1">
      <alignment horizontal="center" vertical="center"/>
    </xf>
    <xf numFmtId="0" fontId="92" fillId="5" borderId="148" xfId="3" applyFont="1" applyFill="1" applyBorder="1" applyAlignment="1">
      <alignment horizontal="center" vertical="center"/>
    </xf>
    <xf numFmtId="0" fontId="92" fillId="0" borderId="149" xfId="3" applyFont="1" applyBorder="1" applyAlignment="1">
      <alignment horizontal="left" vertical="center"/>
    </xf>
    <xf numFmtId="0" fontId="92" fillId="0" borderId="150" xfId="3" applyFont="1" applyBorder="1" applyAlignment="1">
      <alignment horizontal="center" vertical="center"/>
    </xf>
    <xf numFmtId="0" fontId="92" fillId="0" borderId="151" xfId="3" applyFont="1" applyBorder="1" applyAlignment="1">
      <alignment horizontal="center" vertical="center"/>
    </xf>
    <xf numFmtId="0" fontId="92" fillId="0" borderId="149" xfId="3" applyFont="1" applyBorder="1" applyAlignment="1">
      <alignment horizontal="center" vertical="center"/>
    </xf>
    <xf numFmtId="0" fontId="0" fillId="0" borderId="41" xfId="0" applyBorder="1" applyAlignment="1">
      <alignment horizontal="center" vertical="center"/>
    </xf>
    <xf numFmtId="0" fontId="0" fillId="0" borderId="67" xfId="0" applyBorder="1" applyAlignment="1">
      <alignment horizontal="center" vertical="center"/>
    </xf>
    <xf numFmtId="0" fontId="0" fillId="0" borderId="24"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180" fontId="0" fillId="0" borderId="39" xfId="0" applyNumberFormat="1" applyBorder="1" applyAlignment="1">
      <alignment horizontal="center" vertical="center"/>
    </xf>
    <xf numFmtId="180" fontId="0" fillId="0" borderId="16" xfId="0" applyNumberFormat="1" applyBorder="1" applyAlignment="1">
      <alignment horizontal="center" vertical="center"/>
    </xf>
    <xf numFmtId="0" fontId="18" fillId="0" borderId="41" xfId="0" applyFont="1" applyBorder="1" applyAlignment="1">
      <alignment horizontal="center" vertical="center"/>
    </xf>
    <xf numFmtId="0" fontId="19" fillId="0" borderId="14" xfId="0" applyFont="1" applyBorder="1" applyAlignment="1">
      <alignment horizontal="center" vertical="center"/>
    </xf>
    <xf numFmtId="179" fontId="0" fillId="0" borderId="39" xfId="0" applyNumberFormat="1" applyBorder="1" applyAlignment="1">
      <alignment horizontal="center" vertical="center"/>
    </xf>
    <xf numFmtId="179" fontId="0" fillId="0" borderId="30" xfId="0" applyNumberFormat="1" applyBorder="1" applyAlignment="1">
      <alignment horizontal="center" vertical="center"/>
    </xf>
    <xf numFmtId="0" fontId="0" fillId="0" borderId="39" xfId="0" applyBorder="1" applyAlignment="1">
      <alignment horizontal="center" vertical="center"/>
    </xf>
    <xf numFmtId="0" fontId="0" fillId="0" borderId="16" xfId="0" applyBorder="1" applyAlignment="1">
      <alignment horizontal="center" vertical="center"/>
    </xf>
    <xf numFmtId="181" fontId="13" fillId="0" borderId="39" xfId="0" applyNumberFormat="1" applyFont="1" applyBorder="1" applyAlignment="1">
      <alignment horizontal="center" vertical="center"/>
    </xf>
    <xf numFmtId="181" fontId="13" fillId="0" borderId="30" xfId="0" applyNumberFormat="1" applyFont="1" applyBorder="1" applyAlignment="1">
      <alignment horizontal="center" vertical="center"/>
    </xf>
    <xf numFmtId="0" fontId="14" fillId="0" borderId="39" xfId="0" applyFont="1" applyBorder="1" applyAlignment="1">
      <alignment horizontal="center" vertical="center"/>
    </xf>
    <xf numFmtId="0" fontId="14" fillId="0" borderId="16" xfId="0" applyFont="1" applyBorder="1" applyAlignment="1">
      <alignment horizontal="center" vertical="center"/>
    </xf>
    <xf numFmtId="0" fontId="0" fillId="0" borderId="4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3" fillId="0" borderId="39" xfId="0" applyFont="1" applyBorder="1" applyAlignment="1">
      <alignment horizontal="center" vertical="center"/>
    </xf>
    <xf numFmtId="0" fontId="13" fillId="0" borderId="30" xfId="0" applyFont="1" applyBorder="1" applyAlignment="1">
      <alignment horizontal="center" vertical="center"/>
    </xf>
    <xf numFmtId="181" fontId="0" fillId="0" borderId="57" xfId="0" applyNumberFormat="1" applyBorder="1" applyAlignment="1">
      <alignment horizontal="center" vertical="center"/>
    </xf>
    <xf numFmtId="181" fontId="0" fillId="0" borderId="58" xfId="0" applyNumberFormat="1" applyBorder="1" applyAlignment="1">
      <alignment horizontal="center" vertical="center"/>
    </xf>
    <xf numFmtId="181" fontId="0" fillId="0" borderId="60" xfId="0" applyNumberFormat="1" applyBorder="1" applyAlignment="1">
      <alignment horizontal="center" vertical="center"/>
    </xf>
    <xf numFmtId="181" fontId="0" fillId="0" borderId="32" xfId="0" applyNumberFormat="1" applyBorder="1" applyAlignment="1">
      <alignment horizontal="center" vertical="center"/>
    </xf>
    <xf numFmtId="181" fontId="0" fillId="0" borderId="17" xfId="0" applyNumberFormat="1" applyBorder="1" applyAlignment="1">
      <alignment horizontal="center" vertical="center"/>
    </xf>
    <xf numFmtId="0" fontId="18" fillId="0" borderId="55" xfId="0" applyFont="1" applyBorder="1" applyAlignment="1">
      <alignment horizontal="center" vertical="center"/>
    </xf>
    <xf numFmtId="0" fontId="19" fillId="0" borderId="31" xfId="0" applyFont="1" applyBorder="1" applyAlignment="1">
      <alignment horizontal="center" vertical="center"/>
    </xf>
    <xf numFmtId="0" fontId="14" fillId="0" borderId="60" xfId="0" applyFont="1" applyBorder="1" applyAlignment="1">
      <alignment horizontal="center" vertical="center"/>
    </xf>
    <xf numFmtId="0" fontId="14" fillId="0" borderId="17" xfId="0" applyFont="1" applyBorder="1" applyAlignment="1">
      <alignment horizontal="center" vertical="center"/>
    </xf>
    <xf numFmtId="0" fontId="14" fillId="0" borderId="55" xfId="0" applyFont="1" applyBorder="1" applyAlignment="1">
      <alignment horizontal="center" vertical="center"/>
    </xf>
    <xf numFmtId="0" fontId="14" fillId="0" borderId="20" xfId="0" applyFont="1" applyBorder="1" applyAlignment="1">
      <alignment horizontal="center" vertical="center"/>
    </xf>
    <xf numFmtId="0" fontId="0" fillId="0" borderId="60" xfId="0" applyBorder="1" applyAlignment="1">
      <alignment horizontal="center" vertical="center"/>
    </xf>
    <xf numFmtId="0" fontId="0" fillId="0" borderId="32" xfId="0" applyBorder="1" applyAlignment="1">
      <alignment horizontal="center" vertical="center"/>
    </xf>
    <xf numFmtId="0" fontId="13" fillId="0" borderId="61" xfId="0" applyFont="1" applyBorder="1" applyAlignment="1">
      <alignment horizontal="center" vertical="center"/>
    </xf>
    <xf numFmtId="0" fontId="13" fillId="0" borderId="21" xfId="0" applyFont="1" applyBorder="1" applyAlignment="1">
      <alignment horizontal="center" vertical="center"/>
    </xf>
    <xf numFmtId="0" fontId="13" fillId="0" borderId="57" xfId="0" applyFont="1" applyBorder="1" applyAlignment="1">
      <alignment horizontal="center" vertical="center"/>
    </xf>
    <xf numFmtId="0" fontId="13" fillId="0" borderId="59" xfId="0" applyFont="1" applyBorder="1" applyAlignment="1">
      <alignment horizontal="center" vertical="center"/>
    </xf>
    <xf numFmtId="0" fontId="13" fillId="0" borderId="63" xfId="0" applyFont="1" applyBorder="1" applyAlignment="1">
      <alignment horizontal="center" vertical="center"/>
    </xf>
    <xf numFmtId="0" fontId="13" fillId="0" borderId="18" xfId="0" applyFont="1" applyBorder="1" applyAlignment="1">
      <alignment horizontal="center" vertical="center"/>
    </xf>
    <xf numFmtId="0" fontId="0" fillId="0" borderId="57" xfId="0" applyBorder="1" applyAlignment="1">
      <alignment horizontal="center" vertical="center"/>
    </xf>
    <xf numFmtId="0" fontId="0" fillId="0" borderId="59" xfId="0" applyBorder="1" applyAlignment="1">
      <alignment horizontal="center" vertical="center"/>
    </xf>
    <xf numFmtId="0" fontId="21" fillId="0" borderId="70" xfId="0" applyFont="1" applyBorder="1" applyAlignment="1">
      <alignment horizontal="center" vertical="center"/>
    </xf>
    <xf numFmtId="0" fontId="21" fillId="0" borderId="0" xfId="0" applyFont="1" applyAlignment="1">
      <alignment horizontal="center" vertical="center"/>
    </xf>
    <xf numFmtId="0" fontId="21" fillId="0" borderId="34" xfId="0" applyFont="1" applyBorder="1" applyAlignment="1">
      <alignment horizontal="center" vertical="center"/>
    </xf>
    <xf numFmtId="0" fontId="21" fillId="0" borderId="19" xfId="0" applyFont="1" applyBorder="1" applyAlignment="1">
      <alignment horizontal="center" vertical="center"/>
    </xf>
    <xf numFmtId="0" fontId="0" fillId="0" borderId="4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0" borderId="49"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35"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0" fillId="0" borderId="77" xfId="0" applyBorder="1" applyAlignment="1">
      <alignment horizontal="center" vertical="center"/>
    </xf>
    <xf numFmtId="0" fontId="0" fillId="0" borderId="71" xfId="0" applyBorder="1" applyAlignment="1">
      <alignment horizontal="center" vertical="center"/>
    </xf>
    <xf numFmtId="0" fontId="0" fillId="0" borderId="63" xfId="0" applyBorder="1" applyAlignment="1">
      <alignment horizontal="center" vertical="center"/>
    </xf>
    <xf numFmtId="0" fontId="0" fillId="0" borderId="23" xfId="0" applyBorder="1" applyAlignment="1">
      <alignment horizontal="center" vertical="center"/>
    </xf>
    <xf numFmtId="0" fontId="18" fillId="0" borderId="8" xfId="0" applyFont="1" applyBorder="1" applyAlignment="1">
      <alignment horizontal="center" vertical="center"/>
    </xf>
    <xf numFmtId="0" fontId="18" fillId="0" borderId="0" xfId="0" applyFont="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18" fillId="0" borderId="11" xfId="0" applyFont="1" applyBorder="1" applyAlignment="1">
      <alignment horizontal="center" vertical="center"/>
    </xf>
    <xf numFmtId="0" fontId="18" fillId="0" borderId="94" xfId="0" applyFont="1" applyBorder="1" applyAlignment="1">
      <alignment horizontal="center" vertical="center"/>
    </xf>
    <xf numFmtId="0" fontId="23" fillId="0" borderId="39" xfId="0" applyFont="1" applyBorder="1" applyAlignment="1">
      <alignment horizontal="left" vertical="center"/>
    </xf>
    <xf numFmtId="0" fontId="25" fillId="0" borderId="81" xfId="0" applyFont="1" applyBorder="1" applyAlignment="1">
      <alignment horizontal="left" vertical="center"/>
    </xf>
    <xf numFmtId="0" fontId="22" fillId="0" borderId="39" xfId="0" applyFont="1" applyBorder="1" applyAlignment="1">
      <alignment horizontal="left" vertical="center"/>
    </xf>
    <xf numFmtId="0" fontId="23" fillId="0" borderId="16" xfId="0" applyFont="1" applyBorder="1" applyAlignment="1">
      <alignment horizontal="left" vertical="center"/>
    </xf>
    <xf numFmtId="0" fontId="25" fillId="0" borderId="39" xfId="0" applyFont="1" applyBorder="1" applyAlignment="1">
      <alignment horizontal="left" vertical="center"/>
    </xf>
    <xf numFmtId="0" fontId="25" fillId="0" borderId="16" xfId="0" applyFont="1" applyBorder="1" applyAlignment="1">
      <alignment horizontal="left" vertical="center"/>
    </xf>
    <xf numFmtId="0" fontId="24" fillId="0" borderId="39" xfId="0" applyFont="1" applyBorder="1" applyAlignment="1">
      <alignment horizontal="left" vertical="center"/>
    </xf>
    <xf numFmtId="0" fontId="25" fillId="0" borderId="17" xfId="0" applyFont="1" applyBorder="1" applyAlignment="1">
      <alignment horizontal="left" vertical="center"/>
    </xf>
    <xf numFmtId="0" fontId="0" fillId="0" borderId="15" xfId="0" applyBorder="1" applyAlignment="1">
      <alignment horizontal="center" vertical="center"/>
    </xf>
    <xf numFmtId="0" fontId="0" fillId="0" borderId="46" xfId="0" applyBorder="1" applyAlignment="1">
      <alignment horizontal="center" vertical="center"/>
    </xf>
    <xf numFmtId="0" fontId="0" fillId="0" borderId="87" xfId="0" applyBorder="1" applyAlignment="1">
      <alignment horizontal="center" vertical="center"/>
    </xf>
    <xf numFmtId="0" fontId="24" fillId="0" borderId="33" xfId="0" applyFont="1" applyBorder="1" applyAlignment="1">
      <alignment horizontal="center" vertical="center"/>
    </xf>
    <xf numFmtId="0" fontId="25" fillId="0" borderId="90" xfId="0" applyFont="1" applyBorder="1" applyAlignment="1">
      <alignment horizontal="center" vertical="center"/>
    </xf>
    <xf numFmtId="0" fontId="20" fillId="0" borderId="83" xfId="0" applyFont="1" applyBorder="1" applyAlignment="1">
      <alignment horizontal="center" vertical="center"/>
    </xf>
    <xf numFmtId="0" fontId="20" fillId="0" borderId="84" xfId="0" applyFont="1" applyBorder="1" applyAlignment="1">
      <alignment horizontal="center" vertical="center"/>
    </xf>
    <xf numFmtId="0" fontId="20" fillId="0" borderId="85" xfId="0" applyFont="1" applyBorder="1" applyAlignment="1">
      <alignment horizontal="center" vertical="center"/>
    </xf>
    <xf numFmtId="0" fontId="20" fillId="0" borderId="86" xfId="0" applyFont="1" applyBorder="1" applyAlignment="1">
      <alignment horizontal="center" vertical="center"/>
    </xf>
    <xf numFmtId="0" fontId="0" fillId="0" borderId="19" xfId="0" applyBorder="1" applyAlignment="1">
      <alignment horizontal="left" vertical="center"/>
    </xf>
    <xf numFmtId="0" fontId="0" fillId="0" borderId="81" xfId="0" applyBorder="1" applyAlignment="1">
      <alignment horizontal="left" vertical="center"/>
    </xf>
    <xf numFmtId="0" fontId="0" fillId="0" borderId="17" xfId="0" applyBorder="1" applyAlignment="1">
      <alignment horizontal="left" vertical="center"/>
    </xf>
    <xf numFmtId="0" fontId="0" fillId="0" borderId="16" xfId="0" applyBorder="1" applyAlignment="1">
      <alignment horizontal="left" vertical="center"/>
    </xf>
    <xf numFmtId="0" fontId="0" fillId="0" borderId="87" xfId="0" applyBorder="1" applyAlignment="1">
      <alignment horizontal="left" vertical="center"/>
    </xf>
    <xf numFmtId="0" fontId="0" fillId="0" borderId="39" xfId="0" applyBorder="1" applyAlignment="1">
      <alignment horizontal="left" vertical="center"/>
    </xf>
    <xf numFmtId="0" fontId="0" fillId="0" borderId="66" xfId="0" applyBorder="1" applyAlignment="1">
      <alignment horizontal="left" vertical="center"/>
    </xf>
    <xf numFmtId="0" fontId="23" fillId="0" borderId="17" xfId="0" applyFont="1" applyBorder="1" applyAlignment="1">
      <alignment horizontal="left" vertical="center"/>
    </xf>
    <xf numFmtId="0" fontId="24" fillId="0" borderId="88" xfId="0" applyFont="1" applyBorder="1" applyAlignment="1">
      <alignment horizontal="center" vertical="center"/>
    </xf>
    <xf numFmtId="0" fontId="25" fillId="0" borderId="80" xfId="0" applyFont="1" applyBorder="1" applyAlignment="1">
      <alignment horizontal="center" vertical="center"/>
    </xf>
    <xf numFmtId="0" fontId="25" fillId="0" borderId="35" xfId="0" applyFont="1" applyBorder="1" applyAlignment="1">
      <alignment horizontal="center" vertical="center"/>
    </xf>
    <xf numFmtId="0" fontId="25" fillId="0" borderId="53" xfId="0" applyFont="1" applyBorder="1" applyAlignment="1">
      <alignment horizontal="center" vertical="center"/>
    </xf>
    <xf numFmtId="0" fontId="0" fillId="0" borderId="55" xfId="0" applyBorder="1" applyAlignment="1">
      <alignment horizontal="center" vertical="center"/>
    </xf>
    <xf numFmtId="0" fontId="0" fillId="0" borderId="66" xfId="0" applyBorder="1" applyAlignment="1">
      <alignment horizontal="center" vertical="center"/>
    </xf>
    <xf numFmtId="0" fontId="20" fillId="0" borderId="95" xfId="0" applyFont="1" applyBorder="1" applyAlignment="1">
      <alignment horizontal="center" vertical="center"/>
    </xf>
    <xf numFmtId="0" fontId="0" fillId="0" borderId="96" xfId="0" applyBorder="1" applyAlignment="1">
      <alignment horizontal="center" vertical="center"/>
    </xf>
    <xf numFmtId="0" fontId="0" fillId="0" borderId="33" xfId="0" applyBorder="1" applyAlignment="1">
      <alignment horizontal="center" vertical="center"/>
    </xf>
    <xf numFmtId="0" fontId="0" fillId="0" borderId="97" xfId="0" applyBorder="1" applyAlignment="1">
      <alignment horizontal="center" vertical="center"/>
    </xf>
    <xf numFmtId="0" fontId="0" fillId="0" borderId="101" xfId="0" applyBorder="1" applyAlignment="1">
      <alignment horizontal="center" vertical="center"/>
    </xf>
    <xf numFmtId="0" fontId="0" fillId="0" borderId="50" xfId="0" applyBorder="1" applyAlignment="1">
      <alignment horizontal="center" vertical="center"/>
    </xf>
    <xf numFmtId="0" fontId="0" fillId="0" borderId="52" xfId="0" applyBorder="1" applyAlignment="1">
      <alignment horizontal="center" vertical="center"/>
    </xf>
    <xf numFmtId="0" fontId="30" fillId="0" borderId="17" xfId="0" applyFont="1" applyBorder="1" applyAlignment="1">
      <alignment horizontal="center" vertical="center"/>
    </xf>
    <xf numFmtId="0" fontId="30" fillId="0" borderId="16" xfId="0" applyFont="1" applyBorder="1" applyAlignment="1">
      <alignment horizontal="center" vertical="center"/>
    </xf>
    <xf numFmtId="0" fontId="26" fillId="0" borderId="17" xfId="0" applyFont="1" applyBorder="1" applyAlignment="1">
      <alignment horizontal="center" vertical="center"/>
    </xf>
    <xf numFmtId="0" fontId="26"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20" xfId="0" applyFont="1" applyBorder="1" applyAlignment="1">
      <alignment horizontal="center" vertical="center"/>
    </xf>
    <xf numFmtId="0" fontId="19" fillId="0" borderId="13" xfId="0" applyFont="1" applyBorder="1" applyAlignment="1">
      <alignment horizontal="center" vertical="center"/>
    </xf>
    <xf numFmtId="0" fontId="20" fillId="0" borderId="9" xfId="0" applyFont="1" applyBorder="1" applyAlignment="1">
      <alignment horizontal="center" vertical="center"/>
    </xf>
    <xf numFmtId="0" fontId="20" fillId="0" borderId="2" xfId="0" applyFont="1" applyBorder="1" applyAlignment="1">
      <alignment horizontal="center" vertical="center"/>
    </xf>
    <xf numFmtId="0" fontId="20" fillId="0" borderId="78" xfId="0" applyFont="1" applyBorder="1" applyAlignment="1">
      <alignment horizontal="center" vertical="center"/>
    </xf>
    <xf numFmtId="0" fontId="20" fillId="0" borderId="79" xfId="0" applyFont="1" applyBorder="1" applyAlignment="1">
      <alignment horizontal="center" vertical="center"/>
    </xf>
    <xf numFmtId="0" fontId="20" fillId="0" borderId="89" xfId="0" applyFont="1" applyBorder="1" applyAlignment="1">
      <alignment horizontal="center" vertical="center"/>
    </xf>
    <xf numFmtId="0" fontId="0" fillId="0" borderId="20" xfId="0" applyBorder="1" applyAlignment="1">
      <alignment horizontal="center" vertical="center"/>
    </xf>
    <xf numFmtId="0" fontId="0" fillId="0" borderId="56" xfId="0" applyBorder="1" applyAlignment="1">
      <alignment horizontal="center" vertical="center"/>
    </xf>
    <xf numFmtId="0" fontId="27" fillId="0" borderId="87" xfId="0" applyFont="1" applyBorder="1" applyAlignment="1">
      <alignment horizontal="center" vertical="center"/>
    </xf>
    <xf numFmtId="0" fontId="28" fillId="0" borderId="81" xfId="0" applyFont="1" applyBorder="1" applyAlignment="1">
      <alignment horizontal="center" vertical="center"/>
    </xf>
    <xf numFmtId="0" fontId="27" fillId="0" borderId="39" xfId="0" applyFont="1" applyBorder="1" applyAlignment="1">
      <alignment horizontal="center" vertical="center"/>
    </xf>
    <xf numFmtId="0" fontId="28" fillId="0" borderId="16" xfId="0" applyFont="1" applyBorder="1" applyAlignment="1">
      <alignment horizontal="center" vertical="center"/>
    </xf>
    <xf numFmtId="0" fontId="30" fillId="0" borderId="39" xfId="0" applyFont="1" applyBorder="1" applyAlignment="1">
      <alignment horizontal="center" vertical="center"/>
    </xf>
    <xf numFmtId="0" fontId="26" fillId="0" borderId="39" xfId="0" applyFont="1" applyBorder="1" applyAlignment="1">
      <alignment horizontal="center" vertical="center"/>
    </xf>
    <xf numFmtId="0" fontId="29" fillId="0" borderId="19" xfId="0" applyFont="1" applyBorder="1" applyAlignment="1">
      <alignment horizontal="center" vertical="center"/>
    </xf>
    <xf numFmtId="0" fontId="30" fillId="0" borderId="81" xfId="0" applyFont="1" applyBorder="1" applyAlignment="1">
      <alignment horizontal="center" vertical="center"/>
    </xf>
    <xf numFmtId="0" fontId="28" fillId="0" borderId="17" xfId="0" applyFont="1" applyBorder="1" applyAlignment="1">
      <alignment horizontal="center" vertical="center"/>
    </xf>
    <xf numFmtId="0" fontId="19" fillId="0" borderId="39" xfId="0" applyFont="1" applyBorder="1" applyAlignment="1">
      <alignment horizontal="center" vertical="center"/>
    </xf>
    <xf numFmtId="0" fontId="19" fillId="0" borderId="66" xfId="0" applyFont="1" applyBorder="1" applyAlignment="1">
      <alignment horizontal="center" vertical="center"/>
    </xf>
    <xf numFmtId="0" fontId="18" fillId="0" borderId="39" xfId="0" applyFont="1" applyBorder="1" applyAlignment="1">
      <alignment horizontal="center" vertical="center"/>
    </xf>
    <xf numFmtId="0" fontId="19" fillId="0" borderId="16" xfId="0" applyFont="1" applyBorder="1" applyAlignment="1">
      <alignment horizontal="center" vertical="center"/>
    </xf>
    <xf numFmtId="0" fontId="27" fillId="0" borderId="19" xfId="0" applyFont="1" applyBorder="1" applyAlignment="1">
      <alignment horizontal="center" vertical="center"/>
    </xf>
    <xf numFmtId="0" fontId="42" fillId="0" borderId="13" xfId="0" applyFont="1" applyBorder="1" applyAlignment="1" applyProtection="1">
      <alignment horizontal="center" vertical="center"/>
      <protection locked="0"/>
    </xf>
    <xf numFmtId="0" fontId="42" fillId="0" borderId="30" xfId="0" applyFont="1" applyBorder="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3" xfId="0" applyFont="1" applyBorder="1" applyAlignment="1" applyProtection="1">
      <alignment horizontal="center" vertical="center"/>
      <protection locked="0"/>
    </xf>
    <xf numFmtId="0" fontId="46" fillId="0" borderId="0" xfId="0" applyFont="1" applyAlignment="1" applyProtection="1">
      <alignment horizontal="center"/>
      <protection locked="0"/>
    </xf>
    <xf numFmtId="0" fontId="44" fillId="0" borderId="0" xfId="0" applyFont="1" applyAlignment="1" applyProtection="1">
      <alignment horizontal="center" vertical="center"/>
      <protection locked="0"/>
    </xf>
    <xf numFmtId="0" fontId="41" fillId="4" borderId="13" xfId="0" applyFont="1" applyFill="1" applyBorder="1" applyAlignment="1" applyProtection="1">
      <alignment horizontal="center" vertical="center"/>
      <protection locked="0"/>
    </xf>
    <xf numFmtId="0" fontId="52" fillId="3" borderId="117" xfId="0" applyFont="1" applyFill="1" applyBorder="1" applyAlignment="1" applyProtection="1">
      <alignment horizontal="center" vertical="center"/>
      <protection locked="0"/>
    </xf>
    <xf numFmtId="0" fontId="52" fillId="3" borderId="103" xfId="0" applyFont="1" applyFill="1" applyBorder="1" applyAlignment="1" applyProtection="1">
      <alignment horizontal="center" vertical="center"/>
      <protection locked="0"/>
    </xf>
    <xf numFmtId="0" fontId="52" fillId="3" borderId="119" xfId="0" applyFont="1" applyFill="1" applyBorder="1" applyAlignment="1" applyProtection="1">
      <alignment horizontal="center" vertical="center"/>
      <protection locked="0"/>
    </xf>
    <xf numFmtId="0" fontId="52" fillId="3" borderId="13" xfId="0" applyFont="1" applyFill="1" applyBorder="1" applyAlignment="1" applyProtection="1">
      <alignment horizontal="center" vertical="center"/>
      <protection locked="0"/>
    </xf>
    <xf numFmtId="0" fontId="52" fillId="3" borderId="120" xfId="0" applyFont="1" applyFill="1" applyBorder="1" applyAlignment="1" applyProtection="1">
      <alignment horizontal="center" vertical="center"/>
      <protection locked="0"/>
    </xf>
    <xf numFmtId="0" fontId="52" fillId="3" borderId="80" xfId="0" applyFont="1" applyFill="1" applyBorder="1" applyAlignment="1" applyProtection="1">
      <alignment horizontal="center" vertical="center"/>
      <protection locked="0"/>
    </xf>
    <xf numFmtId="0" fontId="55" fillId="0" borderId="129" xfId="0" applyFont="1" applyBorder="1" applyAlignment="1" applyProtection="1">
      <alignment horizontal="center" vertical="center"/>
      <protection locked="0"/>
    </xf>
    <xf numFmtId="0" fontId="41" fillId="0" borderId="119" xfId="0" applyFont="1" applyBorder="1" applyAlignment="1" applyProtection="1">
      <alignment horizontal="center" vertical="center"/>
      <protection locked="0"/>
    </xf>
    <xf numFmtId="176" fontId="41" fillId="0" borderId="80" xfId="0" applyNumberFormat="1" applyFont="1" applyBorder="1" applyAlignment="1">
      <alignment horizontal="center" vertical="center"/>
    </xf>
    <xf numFmtId="176" fontId="41" fillId="0" borderId="121" xfId="0" applyNumberFormat="1" applyFont="1" applyBorder="1" applyAlignment="1">
      <alignment horizontal="center" vertical="center"/>
    </xf>
    <xf numFmtId="0" fontId="41" fillId="4" borderId="119" xfId="0" applyFont="1" applyFill="1" applyBorder="1" applyAlignment="1" applyProtection="1">
      <alignment horizontal="center" vertical="center"/>
      <protection locked="0"/>
    </xf>
    <xf numFmtId="0" fontId="42" fillId="0" borderId="80" xfId="0" applyFont="1" applyBorder="1" applyAlignment="1" applyProtection="1">
      <alignment horizontal="center" vertical="center"/>
      <protection locked="0"/>
    </xf>
    <xf numFmtId="0" fontId="42" fillId="0" borderId="121" xfId="0" applyFont="1" applyBorder="1" applyAlignment="1" applyProtection="1">
      <alignment horizontal="center" vertical="center"/>
      <protection locked="0"/>
    </xf>
    <xf numFmtId="0" fontId="48" fillId="0" borderId="0" xfId="0" applyFont="1" applyAlignment="1" applyProtection="1">
      <alignment horizontal="center" vertical="center"/>
      <protection locked="0"/>
    </xf>
    <xf numFmtId="176" fontId="41" fillId="0" borderId="13" xfId="0" applyNumberFormat="1" applyFont="1" applyBorder="1" applyAlignment="1">
      <alignment horizontal="center" vertical="center"/>
    </xf>
    <xf numFmtId="176" fontId="41" fillId="0" borderId="30" xfId="0" applyNumberFormat="1" applyFont="1" applyBorder="1" applyAlignment="1">
      <alignment horizontal="center" vertical="center"/>
    </xf>
    <xf numFmtId="0" fontId="37" fillId="0" borderId="0" xfId="0" applyFont="1" applyAlignment="1" applyProtection="1">
      <alignment horizontal="left" vertical="center"/>
      <protection locked="0"/>
    </xf>
    <xf numFmtId="0" fontId="45" fillId="0" borderId="2" xfId="0" applyFont="1" applyBorder="1" applyAlignment="1" applyProtection="1">
      <alignment horizontal="center" vertical="center" wrapText="1"/>
      <protection locked="0"/>
    </xf>
    <xf numFmtId="178" fontId="43" fillId="0" borderId="0" xfId="1" applyNumberFormat="1" applyFont="1" applyAlignment="1">
      <alignment horizontal="left" vertical="center"/>
    </xf>
    <xf numFmtId="0" fontId="38" fillId="0" borderId="4" xfId="0" applyFont="1" applyBorder="1" applyAlignment="1" applyProtection="1">
      <alignment horizontal="left" vertical="center"/>
      <protection locked="0"/>
    </xf>
    <xf numFmtId="6" fontId="55" fillId="0" borderId="129" xfId="2" applyFont="1" applyBorder="1" applyAlignment="1">
      <alignment horizontal="center" vertical="center"/>
    </xf>
    <xf numFmtId="0" fontId="52" fillId="3" borderId="115" xfId="0" applyFont="1" applyFill="1" applyBorder="1" applyAlignment="1" applyProtection="1">
      <alignment horizontal="center" vertical="center"/>
      <protection locked="0"/>
    </xf>
    <xf numFmtId="0" fontId="52" fillId="3" borderId="96" xfId="0" applyFont="1" applyFill="1" applyBorder="1" applyAlignment="1" applyProtection="1">
      <alignment horizontal="center" vertical="center"/>
      <protection locked="0"/>
    </xf>
    <xf numFmtId="0" fontId="39" fillId="0" borderId="7" xfId="0" applyFont="1" applyBorder="1" applyAlignment="1" applyProtection="1">
      <alignment horizontal="left" vertical="center"/>
      <protection locked="0"/>
    </xf>
    <xf numFmtId="0" fontId="41" fillId="0" borderId="122" xfId="0" applyFont="1" applyBorder="1" applyAlignment="1" applyProtection="1">
      <alignment horizontal="center" vertical="center"/>
      <protection locked="0"/>
    </xf>
    <xf numFmtId="0" fontId="41" fillId="0" borderId="15" xfId="0" applyFont="1" applyBorder="1" applyAlignment="1" applyProtection="1">
      <alignment horizontal="center" vertical="center"/>
      <protection locked="0"/>
    </xf>
    <xf numFmtId="0" fontId="47" fillId="0" borderId="0" xfId="0" applyFont="1" applyAlignment="1">
      <alignment horizontal="center" vertical="center"/>
    </xf>
    <xf numFmtId="14" fontId="39" fillId="0" borderId="10" xfId="0" applyNumberFormat="1" applyFont="1" applyBorder="1" applyAlignment="1" applyProtection="1">
      <alignment horizontal="left" vertical="center"/>
      <protection locked="0"/>
    </xf>
    <xf numFmtId="0" fontId="37" fillId="0" borderId="7" xfId="0" applyFont="1" applyBorder="1" applyAlignment="1" applyProtection="1">
      <alignment horizontal="right" vertical="center"/>
      <protection locked="0"/>
    </xf>
    <xf numFmtId="0" fontId="48" fillId="0" borderId="0" xfId="0" applyFont="1" applyAlignment="1">
      <alignment horizontal="center" vertical="center" wrapText="1"/>
    </xf>
    <xf numFmtId="0" fontId="40" fillId="0" borderId="0" xfId="0" applyFont="1" applyAlignment="1" applyProtection="1">
      <alignment horizontal="left" vertical="center"/>
      <protection locked="0"/>
    </xf>
    <xf numFmtId="0" fontId="41" fillId="0" borderId="80" xfId="0" applyFont="1" applyBorder="1" applyAlignment="1" applyProtection="1">
      <alignment horizontal="center" vertical="center"/>
      <protection locked="0"/>
    </xf>
    <xf numFmtId="0" fontId="42" fillId="0" borderId="13" xfId="0" applyFont="1" applyBorder="1" applyAlignment="1" applyProtection="1">
      <alignment horizontal="left" vertical="center"/>
      <protection locked="0"/>
    </xf>
    <xf numFmtId="0" fontId="42" fillId="0" borderId="30" xfId="0" applyFont="1" applyBorder="1" applyAlignment="1" applyProtection="1">
      <alignment horizontal="left" vertical="center"/>
      <protection locked="0"/>
    </xf>
    <xf numFmtId="0" fontId="41" fillId="0" borderId="120" xfId="0" applyFont="1" applyBorder="1" applyAlignment="1" applyProtection="1">
      <alignment horizontal="center" vertical="center"/>
      <protection locked="0"/>
    </xf>
    <xf numFmtId="0" fontId="42" fillId="0" borderId="103" xfId="0" applyFont="1" applyBorder="1" applyAlignment="1" applyProtection="1">
      <alignment horizontal="left" vertical="center"/>
      <protection locked="0"/>
    </xf>
    <xf numFmtId="0" fontId="42" fillId="0" borderId="118" xfId="0" applyFont="1" applyBorder="1" applyAlignment="1" applyProtection="1">
      <alignment horizontal="left" vertical="center"/>
      <protection locked="0"/>
    </xf>
    <xf numFmtId="0" fontId="43" fillId="0" borderId="0" xfId="0" applyFont="1" applyProtection="1">
      <alignment vertical="center"/>
      <protection locked="0"/>
    </xf>
    <xf numFmtId="176" fontId="41" fillId="0" borderId="15" xfId="0" applyNumberFormat="1" applyFont="1" applyBorder="1" applyAlignment="1">
      <alignment horizontal="center" vertical="center"/>
    </xf>
    <xf numFmtId="176" fontId="41" fillId="0" borderId="123" xfId="0" applyNumberFormat="1" applyFont="1" applyBorder="1" applyAlignment="1">
      <alignment horizontal="center" vertical="center"/>
    </xf>
    <xf numFmtId="0" fontId="0" fillId="0" borderId="108" xfId="0" applyBorder="1" applyAlignment="1" applyProtection="1">
      <alignment horizontal="center"/>
      <protection locked="0"/>
    </xf>
    <xf numFmtId="0" fontId="0" fillId="0" borderId="104" xfId="0" applyBorder="1" applyAlignment="1" applyProtection="1">
      <alignment horizontal="center"/>
      <protection locked="0"/>
    </xf>
    <xf numFmtId="0" fontId="0" fillId="0" borderId="109" xfId="0" applyBorder="1" applyAlignment="1" applyProtection="1">
      <alignment horizontal="center"/>
      <protection locked="0"/>
    </xf>
    <xf numFmtId="0" fontId="0" fillId="0" borderId="110"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111" xfId="0" applyBorder="1" applyAlignment="1" applyProtection="1">
      <alignment horizontal="center"/>
      <protection locked="0"/>
    </xf>
    <xf numFmtId="0" fontId="0" fillId="0" borderId="112" xfId="0" applyBorder="1" applyAlignment="1" applyProtection="1">
      <alignment horizontal="center"/>
      <protection locked="0"/>
    </xf>
    <xf numFmtId="0" fontId="0" fillId="0" borderId="113" xfId="0" applyBorder="1" applyAlignment="1" applyProtection="1">
      <alignment horizontal="center"/>
      <protection locked="0"/>
    </xf>
    <xf numFmtId="0" fontId="0" fillId="0" borderId="114" xfId="0" applyBorder="1" applyAlignment="1" applyProtection="1">
      <alignment horizontal="center"/>
      <protection locked="0"/>
    </xf>
    <xf numFmtId="0" fontId="52" fillId="3" borderId="1" xfId="0" applyFont="1" applyFill="1" applyBorder="1" applyAlignment="1" applyProtection="1">
      <alignment horizontal="center" vertical="center"/>
      <protection locked="0"/>
    </xf>
    <xf numFmtId="0" fontId="57" fillId="3" borderId="3" xfId="0" applyFont="1" applyFill="1" applyBorder="1" applyAlignment="1" applyProtection="1">
      <protection locked="0"/>
    </xf>
    <xf numFmtId="0" fontId="57" fillId="3" borderId="5" xfId="0" applyFont="1" applyFill="1" applyBorder="1" applyAlignment="1" applyProtection="1">
      <protection locked="0"/>
    </xf>
    <xf numFmtId="0" fontId="57" fillId="3" borderId="6" xfId="0" applyFont="1" applyFill="1" applyBorder="1" applyAlignment="1" applyProtection="1">
      <protection locked="0"/>
    </xf>
    <xf numFmtId="0" fontId="57" fillId="3" borderId="106" xfId="0" applyFont="1" applyFill="1" applyBorder="1" applyAlignment="1" applyProtection="1">
      <protection locked="0"/>
    </xf>
    <xf numFmtId="0" fontId="57" fillId="3" borderId="107" xfId="0" applyFont="1" applyFill="1" applyBorder="1" applyAlignment="1" applyProtection="1">
      <protection locked="0"/>
    </xf>
    <xf numFmtId="0" fontId="4" fillId="0" borderId="2" xfId="0" applyFont="1" applyBorder="1" applyProtection="1">
      <alignment vertical="center"/>
      <protection locked="0"/>
    </xf>
    <xf numFmtId="0" fontId="0" fillId="0" borderId="2" xfId="0" applyBorder="1" applyAlignment="1" applyProtection="1">
      <protection locked="0"/>
    </xf>
    <xf numFmtId="0" fontId="58" fillId="0" borderId="0" xfId="0" applyFont="1" applyAlignment="1" applyProtection="1">
      <protection locked="0"/>
    </xf>
    <xf numFmtId="0" fontId="52" fillId="3" borderId="124" xfId="0" applyFont="1" applyFill="1" applyBorder="1" applyAlignment="1" applyProtection="1">
      <alignment horizontal="center" vertical="center"/>
      <protection locked="0"/>
    </xf>
    <xf numFmtId="0" fontId="52" fillId="3" borderId="125" xfId="0" applyFont="1" applyFill="1" applyBorder="1" applyAlignment="1" applyProtection="1">
      <alignment horizontal="center" vertical="center"/>
      <protection locked="0"/>
    </xf>
    <xf numFmtId="0" fontId="52" fillId="3" borderId="126" xfId="0" applyFont="1" applyFill="1" applyBorder="1" applyAlignment="1" applyProtection="1">
      <alignment horizontal="center" vertical="center"/>
      <protection locked="0"/>
    </xf>
    <xf numFmtId="0" fontId="60" fillId="0" borderId="104" xfId="0" applyFont="1" applyBorder="1" applyProtection="1">
      <alignment vertical="center"/>
      <protection locked="0"/>
    </xf>
    <xf numFmtId="0" fontId="60" fillId="0" borderId="102" xfId="0" applyFont="1" applyBorder="1" applyProtection="1">
      <alignment vertical="center"/>
      <protection locked="0"/>
    </xf>
    <xf numFmtId="0" fontId="60" fillId="0" borderId="32" xfId="0" applyFont="1" applyBorder="1" applyProtection="1">
      <alignment vertical="center"/>
      <protection locked="0"/>
    </xf>
    <xf numFmtId="0" fontId="60" fillId="0" borderId="17" xfId="0" applyFont="1" applyBorder="1" applyProtection="1">
      <alignment vertical="center"/>
      <protection locked="0"/>
    </xf>
    <xf numFmtId="0" fontId="60" fillId="0" borderId="113" xfId="0" applyFont="1" applyBorder="1" applyProtection="1">
      <alignment vertical="center"/>
      <protection locked="0"/>
    </xf>
    <xf numFmtId="0" fontId="60" fillId="0" borderId="127" xfId="0" applyFont="1" applyBorder="1" applyProtection="1">
      <alignment vertical="center"/>
      <protection locked="0"/>
    </xf>
    <xf numFmtId="0" fontId="59" fillId="0" borderId="129" xfId="0" applyFont="1" applyBorder="1" applyAlignment="1" applyProtection="1">
      <alignment horizontal="center" vertical="center"/>
      <protection locked="0"/>
    </xf>
    <xf numFmtId="0" fontId="60" fillId="0" borderId="105" xfId="0" applyFont="1" applyBorder="1" applyAlignment="1" applyProtection="1">
      <alignment horizontal="center" vertical="center"/>
      <protection locked="0"/>
    </xf>
    <xf numFmtId="0" fontId="60" fillId="0" borderId="102" xfId="0" applyFont="1" applyBorder="1" applyAlignment="1" applyProtection="1">
      <alignment horizontal="center" vertical="center"/>
      <protection locked="0"/>
    </xf>
    <xf numFmtId="0" fontId="60" fillId="0" borderId="16" xfId="0" applyFont="1" applyBorder="1" applyAlignment="1" applyProtection="1">
      <alignment horizontal="center" vertical="center"/>
      <protection locked="0"/>
    </xf>
    <xf numFmtId="0" fontId="60" fillId="0" borderId="17" xfId="0" applyFont="1" applyBorder="1" applyAlignment="1" applyProtection="1">
      <alignment horizontal="center" vertical="center"/>
      <protection locked="0"/>
    </xf>
    <xf numFmtId="0" fontId="60" fillId="0" borderId="128" xfId="0" applyFont="1" applyBorder="1" applyAlignment="1" applyProtection="1">
      <alignment horizontal="center" vertical="center"/>
      <protection locked="0"/>
    </xf>
    <xf numFmtId="0" fontId="60" fillId="0" borderId="127" xfId="0" applyFont="1" applyBorder="1" applyAlignment="1" applyProtection="1">
      <alignment horizontal="center" vertical="center"/>
      <protection locked="0"/>
    </xf>
    <xf numFmtId="0" fontId="62" fillId="0" borderId="0" xfId="0" applyFont="1" applyAlignment="1" applyProtection="1">
      <alignment horizontal="left" vertical="top" wrapText="1"/>
      <protection locked="0"/>
    </xf>
    <xf numFmtId="0" fontId="65" fillId="0" borderId="0" xfId="0" applyFont="1" applyAlignment="1" applyProtection="1">
      <alignment horizontal="left" vertical="top"/>
      <protection locked="0"/>
    </xf>
    <xf numFmtId="0" fontId="63" fillId="0" borderId="0" xfId="0" applyFont="1" applyAlignment="1" applyProtection="1">
      <alignment horizontal="left" vertical="top" wrapText="1"/>
      <protection locked="0"/>
    </xf>
    <xf numFmtId="0" fontId="67" fillId="0" borderId="0" xfId="0" applyFont="1" applyAlignment="1" applyProtection="1">
      <alignment horizontal="left" vertical="top"/>
      <protection locked="0"/>
    </xf>
    <xf numFmtId="0" fontId="68" fillId="0" borderId="0" xfId="0" applyFont="1" applyAlignment="1">
      <alignment horizontal="left" vertical="center"/>
    </xf>
    <xf numFmtId="0" fontId="68" fillId="0" borderId="132" xfId="0" applyFont="1" applyBorder="1" applyAlignment="1">
      <alignment horizontal="center" vertical="center"/>
    </xf>
    <xf numFmtId="0" fontId="68" fillId="0" borderId="131" xfId="0" applyFont="1" applyBorder="1" applyAlignment="1">
      <alignment horizontal="center" vertical="center"/>
    </xf>
    <xf numFmtId="0" fontId="68" fillId="0" borderId="130" xfId="0" applyFont="1" applyBorder="1" applyAlignment="1">
      <alignment horizontal="center" vertical="center"/>
    </xf>
    <xf numFmtId="0" fontId="72" fillId="0" borderId="0" xfId="0" applyFont="1" applyAlignment="1">
      <alignment horizontal="center" vertical="center"/>
    </xf>
    <xf numFmtId="0" fontId="71" fillId="0" borderId="0" xfId="0" applyFont="1" applyAlignment="1">
      <alignment horizontal="center" vertical="center"/>
    </xf>
    <xf numFmtId="0" fontId="70" fillId="0" borderId="140" xfId="0" applyFont="1" applyBorder="1" applyAlignment="1">
      <alignment horizontal="left" vertical="center" wrapText="1"/>
    </xf>
    <xf numFmtId="0" fontId="69" fillId="0" borderId="139" xfId="0" applyFont="1" applyBorder="1" applyAlignment="1">
      <alignment horizontal="left" vertical="center"/>
    </xf>
    <xf numFmtId="0" fontId="69" fillId="0" borderId="138" xfId="0" applyFont="1" applyBorder="1" applyAlignment="1">
      <alignment horizontal="left" vertical="center"/>
    </xf>
    <xf numFmtId="0" fontId="69" fillId="0" borderId="137" xfId="0" applyFont="1" applyBorder="1" applyAlignment="1">
      <alignment horizontal="left" vertical="center"/>
    </xf>
    <xf numFmtId="0" fontId="69" fillId="0" borderId="0" xfId="0" applyFont="1" applyAlignment="1">
      <alignment horizontal="left" vertical="center"/>
    </xf>
    <xf numFmtId="0" fontId="69" fillId="0" borderId="136" xfId="0" applyFont="1" applyBorder="1" applyAlignment="1">
      <alignment horizontal="left" vertical="center"/>
    </xf>
    <xf numFmtId="0" fontId="69" fillId="0" borderId="135" xfId="0" applyFont="1" applyBorder="1" applyAlignment="1">
      <alignment horizontal="left" vertical="center"/>
    </xf>
    <xf numFmtId="0" fontId="69" fillId="0" borderId="134" xfId="0" applyFont="1" applyBorder="1" applyAlignment="1">
      <alignment horizontal="left" vertical="center"/>
    </xf>
    <xf numFmtId="0" fontId="69" fillId="0" borderId="133" xfId="0" applyFont="1" applyBorder="1" applyAlignment="1">
      <alignment horizontal="left" vertical="center"/>
    </xf>
    <xf numFmtId="176" fontId="83" fillId="0" borderId="0" xfId="3" applyNumberFormat="1" applyFont="1" applyAlignment="1">
      <alignment horizontal="left" vertical="center"/>
    </xf>
    <xf numFmtId="176" fontId="73" fillId="0" borderId="0" xfId="5" applyNumberFormat="1" applyFont="1" applyAlignment="1">
      <alignment horizontal="center" vertical="center"/>
    </xf>
    <xf numFmtId="176" fontId="77" fillId="0" borderId="0" xfId="3" applyNumberFormat="1" applyFont="1" applyAlignment="1">
      <alignment horizontal="left" vertical="center" wrapText="1"/>
    </xf>
    <xf numFmtId="176" fontId="75" fillId="0" borderId="0" xfId="3" applyNumberFormat="1" applyFont="1" applyAlignment="1">
      <alignment horizontal="left" vertical="center"/>
    </xf>
    <xf numFmtId="41" fontId="78" fillId="0" borderId="0" xfId="3" applyNumberFormat="1" applyFont="1" applyAlignment="1">
      <alignment horizontal="left" vertical="center"/>
    </xf>
    <xf numFmtId="41" fontId="75" fillId="0" borderId="0" xfId="3" applyNumberFormat="1" applyFont="1" applyAlignment="1">
      <alignment horizontal="left" vertical="center"/>
    </xf>
    <xf numFmtId="41" fontId="74" fillId="0" borderId="0" xfId="3" applyNumberFormat="1" applyFont="1" applyAlignment="1">
      <alignment horizontal="left" vertical="center"/>
    </xf>
    <xf numFmtId="41" fontId="77" fillId="0" borderId="0" xfId="3" applyNumberFormat="1" applyFont="1" applyAlignment="1">
      <alignment horizontal="left" vertical="center"/>
    </xf>
    <xf numFmtId="176" fontId="82" fillId="0" borderId="0" xfId="0" applyNumberFormat="1" applyFont="1" applyAlignment="1">
      <alignment horizontal="left" vertical="center"/>
    </xf>
    <xf numFmtId="0" fontId="68" fillId="0" borderId="124" xfId="0" applyFont="1" applyBorder="1" applyAlignment="1">
      <alignment horizontal="center" vertical="center"/>
    </xf>
    <xf numFmtId="0" fontId="68" fillId="0" borderId="126" xfId="0" applyFont="1" applyBorder="1" applyAlignment="1">
      <alignment horizontal="center" vertical="center"/>
    </xf>
    <xf numFmtId="0" fontId="68" fillId="0" borderId="125" xfId="0" applyFont="1" applyBorder="1" applyAlignment="1">
      <alignment horizontal="center" vertical="center"/>
    </xf>
    <xf numFmtId="14" fontId="68" fillId="0" borderId="2" xfId="0" applyNumberFormat="1" applyFont="1" applyBorder="1" applyAlignment="1">
      <alignment horizontal="left" vertical="center"/>
    </xf>
    <xf numFmtId="0" fontId="68" fillId="0" borderId="2" xfId="0" applyFont="1" applyBorder="1" applyAlignment="1">
      <alignment horizontal="left" vertical="center"/>
    </xf>
    <xf numFmtId="0" fontId="68" fillId="0" borderId="2" xfId="0" applyFont="1" applyBorder="1" applyAlignment="1">
      <alignment horizontal="center" vertical="center"/>
    </xf>
    <xf numFmtId="0" fontId="85" fillId="0" borderId="0" xfId="0" applyFont="1" applyAlignment="1">
      <alignment horizontal="center" vertical="center"/>
    </xf>
    <xf numFmtId="0" fontId="68" fillId="0" borderId="141" xfId="0" applyFont="1" applyBorder="1" applyAlignment="1">
      <alignment horizontal="center" vertical="center"/>
    </xf>
    <xf numFmtId="0" fontId="68" fillId="0" borderId="3" xfId="0" applyFont="1" applyBorder="1" applyAlignment="1">
      <alignment horizontal="center" vertical="center"/>
    </xf>
    <xf numFmtId="0" fontId="68" fillId="0" borderId="5" xfId="0" applyFont="1" applyBorder="1" applyAlignment="1">
      <alignment horizontal="center" vertical="center"/>
    </xf>
    <xf numFmtId="0" fontId="68" fillId="0" borderId="6" xfId="0" applyFont="1" applyBorder="1" applyAlignment="1">
      <alignment horizontal="center" vertical="center"/>
    </xf>
    <xf numFmtId="0" fontId="68" fillId="0" borderId="106" xfId="0" applyFont="1" applyBorder="1" applyAlignment="1">
      <alignment horizontal="center" vertical="center"/>
    </xf>
    <xf numFmtId="0" fontId="68" fillId="0" borderId="107" xfId="0" applyFont="1" applyBorder="1" applyAlignment="1">
      <alignment horizontal="center" vertical="center"/>
    </xf>
    <xf numFmtId="0" fontId="68" fillId="0" borderId="141" xfId="0" applyFont="1" applyBorder="1" applyAlignment="1">
      <alignment horizontal="left" vertical="center"/>
    </xf>
    <xf numFmtId="0" fontId="68" fillId="0" borderId="4" xfId="0" applyFont="1" applyBorder="1" applyAlignment="1">
      <alignment horizontal="left" vertical="center"/>
    </xf>
    <xf numFmtId="0" fontId="68" fillId="0" borderId="3" xfId="0" applyFont="1" applyBorder="1" applyAlignment="1">
      <alignment horizontal="left" vertical="center"/>
    </xf>
    <xf numFmtId="0" fontId="68" fillId="0" borderId="5" xfId="0" applyFont="1" applyBorder="1" applyAlignment="1">
      <alignment horizontal="left" vertical="center"/>
    </xf>
    <xf numFmtId="0" fontId="68" fillId="0" borderId="6" xfId="0" applyFont="1" applyBorder="1" applyAlignment="1">
      <alignment horizontal="left" vertical="center"/>
    </xf>
    <xf numFmtId="0" fontId="68" fillId="0" borderId="106" xfId="0" applyFont="1" applyBorder="1" applyAlignment="1">
      <alignment horizontal="left" vertical="center"/>
    </xf>
    <xf numFmtId="0" fontId="68" fillId="0" borderId="107" xfId="0" applyFont="1" applyBorder="1" applyAlignment="1">
      <alignment horizontal="left" vertical="center"/>
    </xf>
    <xf numFmtId="0" fontId="68" fillId="0" borderId="0" xfId="0" applyFont="1" applyAlignment="1">
      <alignment horizontal="center" vertical="center"/>
    </xf>
    <xf numFmtId="0" fontId="88" fillId="0" borderId="0" xfId="0" applyFont="1" applyAlignment="1">
      <alignment horizontal="center" vertical="center"/>
    </xf>
    <xf numFmtId="0" fontId="89" fillId="0" borderId="0" xfId="0" applyFont="1" applyAlignment="1">
      <alignment horizontal="right" vertical="center"/>
    </xf>
    <xf numFmtId="0" fontId="90" fillId="0" borderId="0" xfId="0" applyFont="1" applyAlignment="1">
      <alignment horizontal="left" vertical="center" wrapText="1"/>
    </xf>
    <xf numFmtId="0" fontId="90" fillId="0" borderId="0" xfId="0" applyFont="1" applyAlignment="1">
      <alignment horizontal="center" vertical="center" wrapText="1"/>
    </xf>
    <xf numFmtId="0" fontId="68" fillId="0" borderId="0" xfId="0" applyFont="1" applyAlignment="1">
      <alignment horizontal="right" vertical="center"/>
    </xf>
    <xf numFmtId="0" fontId="90" fillId="0" borderId="0" xfId="0" applyFont="1" applyAlignment="1">
      <alignment horizontal="center" vertical="center"/>
    </xf>
    <xf numFmtId="0" fontId="87" fillId="0" borderId="0" xfId="0" applyFont="1" applyAlignment="1">
      <alignment horizontal="distributed" vertical="center"/>
    </xf>
    <xf numFmtId="0" fontId="87" fillId="0" borderId="0" xfId="0" applyFont="1" applyAlignment="1">
      <alignment horizontal="left" vertical="center"/>
    </xf>
    <xf numFmtId="0" fontId="68" fillId="0" borderId="0" xfId="0" applyFont="1" applyAlignment="1">
      <alignment horizontal="right" vertical="center" wrapText="1" readingOrder="1"/>
    </xf>
    <xf numFmtId="0" fontId="91" fillId="0" borderId="0" xfId="6" applyFont="1" applyFill="1" applyAlignment="1">
      <alignment horizontal="left" vertical="center"/>
    </xf>
    <xf numFmtId="0" fontId="68" fillId="0" borderId="0" xfId="0" applyFont="1">
      <alignment vertical="center"/>
    </xf>
    <xf numFmtId="56" fontId="87" fillId="0" borderId="0" xfId="0" applyNumberFormat="1" applyFont="1" applyAlignment="1">
      <alignment horizontal="left" vertical="center"/>
    </xf>
    <xf numFmtId="0" fontId="87" fillId="0" borderId="1" xfId="0" applyFont="1" applyBorder="1" applyAlignment="1">
      <alignment horizontal="center" vertical="center"/>
    </xf>
    <xf numFmtId="0" fontId="87" fillId="0" borderId="132" xfId="0" applyFont="1" applyBorder="1" applyAlignment="1">
      <alignment horizontal="center" vertical="center"/>
    </xf>
    <xf numFmtId="0" fontId="87" fillId="0" borderId="1" xfId="0" applyFont="1" applyBorder="1" applyAlignment="1">
      <alignment horizontal="left" vertical="center" wrapText="1"/>
    </xf>
    <xf numFmtId="0" fontId="87" fillId="0" borderId="124" xfId="0" applyFont="1" applyBorder="1" applyAlignment="1">
      <alignment horizontal="left" vertical="center" wrapText="1"/>
    </xf>
    <xf numFmtId="0" fontId="87" fillId="0" borderId="141" xfId="0" applyFont="1" applyBorder="1" applyAlignment="1">
      <alignment horizontal="left" vertical="center" wrapText="1"/>
    </xf>
    <xf numFmtId="0" fontId="87" fillId="0" borderId="4" xfId="0" applyFont="1" applyBorder="1" applyAlignment="1">
      <alignment horizontal="left" vertical="center" wrapText="1"/>
    </xf>
    <xf numFmtId="0" fontId="87" fillId="0" borderId="126" xfId="0" applyFont="1" applyBorder="1" applyAlignment="1">
      <alignment horizontal="left" vertical="center" wrapText="1"/>
    </xf>
    <xf numFmtId="0" fontId="87" fillId="0" borderId="1" xfId="0" applyFont="1" applyBorder="1" applyAlignment="1">
      <alignment horizontal="center" vertical="center" wrapText="1"/>
    </xf>
    <xf numFmtId="0" fontId="87" fillId="0" borderId="106" xfId="0" applyFont="1" applyBorder="1" applyAlignment="1">
      <alignment horizontal="left" vertical="center" wrapText="1"/>
    </xf>
    <xf numFmtId="0" fontId="87" fillId="0" borderId="2" xfId="0" applyFont="1" applyBorder="1" applyAlignment="1">
      <alignment horizontal="left" vertical="center" wrapText="1"/>
    </xf>
    <xf numFmtId="0" fontId="0" fillId="0" borderId="0" xfId="0" applyAlignment="1">
      <alignment horizontal="center" vertical="center"/>
    </xf>
  </cellXfs>
  <cellStyles count="7">
    <cellStyle name="Excel Built-in Comma [0]" xfId="4" xr:uid="{00000000-0005-0000-0000-000028000000}"/>
    <cellStyle name="Excel Built-in Normal" xfId="3" xr:uid="{00000000-0005-0000-0000-00001D000000}"/>
    <cellStyle name="ハイパーリンク" xfId="6" builtinId="8"/>
    <cellStyle name="桁区切り" xfId="1" builtinId="6"/>
    <cellStyle name="通貨" xfId="2" builtinId="7"/>
    <cellStyle name="標準" xfId="0" builtinId="0"/>
    <cellStyle name="標準 2" xfId="5" xr:uid="{00000000-0005-0000-0000-000033000000}"/>
  </cellStyles>
  <dxfs count="3">
    <dxf>
      <numFmt numFmtId="176" formatCode="#,##0_ "/>
    </dxf>
    <dxf>
      <numFmt numFmtId="176" formatCode="#,##0_ "/>
    </dxf>
    <dxf>
      <numFmt numFmtId="176" formatCode="#,##0_ "/>
    </dxf>
  </dxfs>
  <tableStyles count="0" defaultTableStyle="TableStyleMedium2" defaultPivotStyle="PivotStyleLight16"/>
  <colors>
    <mruColors>
      <color rgb="FF3F8169"/>
      <color rgb="FF62B295"/>
      <color rgb="FF86C4AE"/>
      <color rgb="FFA1D1C0"/>
      <color rgb="FFEFF7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CheckBox" fmlaLink="$C$32"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fmlaLink="$D$32" lockText="1" noThreeD="1"/>
</file>

<file path=xl/ctrlProps/ctrlProp6.xml><?xml version="1.0" encoding="utf-8"?>
<formControlPr xmlns="http://schemas.microsoft.com/office/spreadsheetml/2009/9/main" objectType="CheckBox" fmlaLink="$E$32" lockText="1" noThreeD="1"/>
</file>

<file path=xl/ctrlProps/ctrlProp7.xml><?xml version="1.0" encoding="utf-8"?>
<formControlPr xmlns="http://schemas.microsoft.com/office/spreadsheetml/2009/9/main" objectType="CheckBox" fmlaLink="$F$32" lockText="1" noThreeD="1"/>
</file>

<file path=xl/ctrlProps/ctrlProp8.xml><?xml version="1.0" encoding="utf-8"?>
<formControlPr xmlns="http://schemas.microsoft.com/office/spreadsheetml/2009/9/main" objectType="CheckBox" fmlaLink="$C$34" lockText="1" noThreeD="1"/>
</file>

<file path=xl/ctrlProps/ctrlProp9.xml><?xml version="1.0" encoding="utf-8"?>
<formControlPr xmlns="http://schemas.microsoft.com/office/spreadsheetml/2009/9/main" objectType="CheckBox" fmlaLink="$C$35"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fmlaLink="$D$35" lockText="1" noThreeD="1"/>
</file>

<file path=xl/ctrlProps/ctrlProp14.xml><?xml version="1.0" encoding="utf-8"?>
<formControlPr xmlns="http://schemas.microsoft.com/office/spreadsheetml/2009/9/main" objectType="CheckBox" fmlaLink="$E$35" lockText="1" noThreeD="1"/>
</file>

<file path=xl/ctrlProps/ctrlProp15.xml><?xml version="1.0" encoding="utf-8"?>
<formControlPr xmlns="http://schemas.microsoft.com/office/spreadsheetml/2009/9/main" objectType="CheckBox" fmlaLink="$F$35" lockText="1" noThreeD="1"/>
</file>

<file path=xl/ctrlProps/ctrlProp16.xml><?xml version="1.0" encoding="utf-8"?>
<formControlPr xmlns="http://schemas.microsoft.com/office/spreadsheetml/2009/9/main" objectType="CheckBox" fmlaLink="$C$30"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fmlaLink="$D$30" lockText="1" noThreeD="1"/>
</file>

<file path=xl/ctrlProps/ctrlProp21.xml><?xml version="1.0" encoding="utf-8"?>
<formControlPr xmlns="http://schemas.microsoft.com/office/spreadsheetml/2009/9/main" objectType="CheckBox" fmlaLink="$E$30" lockText="1" noThreeD="1"/>
</file>

<file path=xl/ctrlProps/ctrlProp22.xml><?xml version="1.0" encoding="utf-8"?>
<formControlPr xmlns="http://schemas.microsoft.com/office/spreadsheetml/2009/9/main" objectType="CheckBox" fmlaLink="$F$30" lockText="1" noThreeD="1"/>
</file>

<file path=xl/ctrlProps/ctrlProp23.xml><?xml version="1.0" encoding="utf-8"?>
<formControlPr xmlns="http://schemas.microsoft.com/office/spreadsheetml/2009/9/main" objectType="CheckBox" fmlaLink="$C$36"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fmlaLink="$D$36"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fmlaLink="$E$36"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fmlaLink="$F$36" lockText="1" noThreeD="1"/>
</file>

<file path=xl/ctrlProps/ctrlProp30.xml><?xml version="1.0" encoding="utf-8"?>
<formControlPr xmlns="http://schemas.microsoft.com/office/spreadsheetml/2009/9/main" objectType="CheckBox" fmlaLink="$D$34" lockText="1" noThreeD="1"/>
</file>

<file path=xl/ctrlProps/ctrlProp31.xml><?xml version="1.0" encoding="utf-8"?>
<formControlPr xmlns="http://schemas.microsoft.com/office/spreadsheetml/2009/9/main" objectType="CheckBox" fmlaLink="$E$34" lockText="1" noThreeD="1"/>
</file>

<file path=xl/ctrlProps/ctrlProp32.xml><?xml version="1.0" encoding="utf-8"?>
<formControlPr xmlns="http://schemas.microsoft.com/office/spreadsheetml/2009/9/main" objectType="CheckBox" fmlaLink="$F$34" lockText="1" noThreeD="1"/>
</file>

<file path=xl/ctrlProps/ctrlProp33.xml><?xml version="1.0" encoding="utf-8"?>
<formControlPr xmlns="http://schemas.microsoft.com/office/spreadsheetml/2009/9/main" objectType="CheckBox" checked="Checked" fmlaLink="$B$4"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5</xdr:col>
      <xdr:colOff>401461</xdr:colOff>
      <xdr:row>23</xdr:row>
      <xdr:rowOff>232329</xdr:rowOff>
    </xdr:from>
    <xdr:to>
      <xdr:col>6</xdr:col>
      <xdr:colOff>77667</xdr:colOff>
      <xdr:row>25</xdr:row>
      <xdr:rowOff>36162</xdr:rowOff>
    </xdr:to>
    <xdr:sp macro="" textlink="">
      <xdr:nvSpPr>
        <xdr:cNvPr id="8" name="テキスト ボックス 7">
          <a:extLst>
            <a:ext uri="{FF2B5EF4-FFF2-40B4-BE49-F238E27FC236}">
              <a16:creationId xmlns:a16="http://schemas.microsoft.com/office/drawing/2014/main" id="{2B6B04BD-AA5C-4B30-BD73-DA851F7D138A}"/>
            </a:ext>
          </a:extLst>
        </xdr:cNvPr>
        <xdr:cNvSpPr txBox="1"/>
      </xdr:nvSpPr>
      <xdr:spPr>
        <a:xfrm>
          <a:off x="4052711" y="6131479"/>
          <a:ext cx="406456" cy="268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mm</a:t>
          </a:r>
          <a:endParaRPr kumimoji="1" lang="ja-JP" altLang="en-US" sz="1100"/>
        </a:p>
      </xdr:txBody>
    </xdr:sp>
    <xdr:clientData/>
  </xdr:twoCellAnchor>
  <xdr:oneCellAnchor>
    <xdr:from>
      <xdr:col>5</xdr:col>
      <xdr:colOff>404182</xdr:colOff>
      <xdr:row>23</xdr:row>
      <xdr:rowOff>2822</xdr:rowOff>
    </xdr:from>
    <xdr:ext cx="409984" cy="264560"/>
    <xdr:sp macro="" textlink="">
      <xdr:nvSpPr>
        <xdr:cNvPr id="9" name="テキスト ボックス 8">
          <a:extLst>
            <a:ext uri="{FF2B5EF4-FFF2-40B4-BE49-F238E27FC236}">
              <a16:creationId xmlns:a16="http://schemas.microsoft.com/office/drawing/2014/main" id="{BAF8EF5B-6DB6-4645-BCFA-1A2B46B509B8}"/>
            </a:ext>
          </a:extLst>
        </xdr:cNvPr>
        <xdr:cNvSpPr txBox="1"/>
      </xdr:nvSpPr>
      <xdr:spPr>
        <a:xfrm>
          <a:off x="4055432" y="5908322"/>
          <a:ext cx="40998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mm</a:t>
          </a:r>
          <a:endParaRPr kumimoji="1" lang="ja-JP" altLang="en-US" sz="1100"/>
        </a:p>
      </xdr:txBody>
    </xdr:sp>
    <xdr:clientData/>
  </xdr:oneCellAnchor>
  <mc:AlternateContent xmlns:mc="http://schemas.openxmlformats.org/markup-compatibility/2006">
    <mc:Choice xmlns:a14="http://schemas.microsoft.com/office/drawing/2010/main" Requires="a14">
      <xdr:twoCellAnchor editAs="oneCell">
        <xdr:from>
          <xdr:col>2</xdr:col>
          <xdr:colOff>15240</xdr:colOff>
          <xdr:row>31</xdr:row>
          <xdr:rowOff>0</xdr:rowOff>
        </xdr:from>
        <xdr:to>
          <xdr:col>2</xdr:col>
          <xdr:colOff>571500</xdr:colOff>
          <xdr:row>31</xdr:row>
          <xdr:rowOff>236220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31</xdr:row>
          <xdr:rowOff>0</xdr:rowOff>
        </xdr:from>
        <xdr:to>
          <xdr:col>3</xdr:col>
          <xdr:colOff>571500</xdr:colOff>
          <xdr:row>31</xdr:row>
          <xdr:rowOff>236220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31</xdr:row>
          <xdr:rowOff>0</xdr:rowOff>
        </xdr:from>
        <xdr:to>
          <xdr:col>4</xdr:col>
          <xdr:colOff>571500</xdr:colOff>
          <xdr:row>31</xdr:row>
          <xdr:rowOff>236220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31</xdr:row>
          <xdr:rowOff>0</xdr:rowOff>
        </xdr:from>
        <xdr:to>
          <xdr:col>5</xdr:col>
          <xdr:colOff>571500</xdr:colOff>
          <xdr:row>31</xdr:row>
          <xdr:rowOff>236220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31</xdr:row>
          <xdr:rowOff>0</xdr:rowOff>
        </xdr:from>
        <xdr:to>
          <xdr:col>3</xdr:col>
          <xdr:colOff>571500</xdr:colOff>
          <xdr:row>31</xdr:row>
          <xdr:rowOff>236220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31</xdr:row>
          <xdr:rowOff>0</xdr:rowOff>
        </xdr:from>
        <xdr:to>
          <xdr:col>4</xdr:col>
          <xdr:colOff>571500</xdr:colOff>
          <xdr:row>31</xdr:row>
          <xdr:rowOff>236220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31</xdr:row>
          <xdr:rowOff>0</xdr:rowOff>
        </xdr:from>
        <xdr:to>
          <xdr:col>5</xdr:col>
          <xdr:colOff>571500</xdr:colOff>
          <xdr:row>31</xdr:row>
          <xdr:rowOff>236220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33</xdr:row>
          <xdr:rowOff>7620</xdr:rowOff>
        </xdr:from>
        <xdr:to>
          <xdr:col>2</xdr:col>
          <xdr:colOff>708660</xdr:colOff>
          <xdr:row>34</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ja-JP" altLang="en-US" sz="900" b="0" i="0" u="none" strike="noStrike" baseline="0">
                  <a:solidFill>
                    <a:srgbClr val="000000"/>
                  </a:solidFill>
                  <a:latin typeface="Meiryo UI"/>
                  <a:ea typeface="Meiryo UI"/>
                </a:rPr>
                <a:t>勾配補正</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34</xdr:row>
          <xdr:rowOff>0</xdr:rowOff>
        </xdr:from>
        <xdr:to>
          <xdr:col>2</xdr:col>
          <xdr:colOff>571500</xdr:colOff>
          <xdr:row>35</xdr:row>
          <xdr:rowOff>7620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34</xdr:row>
          <xdr:rowOff>0</xdr:rowOff>
        </xdr:from>
        <xdr:to>
          <xdr:col>3</xdr:col>
          <xdr:colOff>571500</xdr:colOff>
          <xdr:row>35</xdr:row>
          <xdr:rowOff>7620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34</xdr:row>
          <xdr:rowOff>0</xdr:rowOff>
        </xdr:from>
        <xdr:to>
          <xdr:col>4</xdr:col>
          <xdr:colOff>571500</xdr:colOff>
          <xdr:row>35</xdr:row>
          <xdr:rowOff>7620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34</xdr:row>
          <xdr:rowOff>0</xdr:rowOff>
        </xdr:from>
        <xdr:to>
          <xdr:col>5</xdr:col>
          <xdr:colOff>571500</xdr:colOff>
          <xdr:row>35</xdr:row>
          <xdr:rowOff>7620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34</xdr:row>
          <xdr:rowOff>0</xdr:rowOff>
        </xdr:from>
        <xdr:to>
          <xdr:col>3</xdr:col>
          <xdr:colOff>571500</xdr:colOff>
          <xdr:row>35</xdr:row>
          <xdr:rowOff>7620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34</xdr:row>
          <xdr:rowOff>0</xdr:rowOff>
        </xdr:from>
        <xdr:to>
          <xdr:col>4</xdr:col>
          <xdr:colOff>571500</xdr:colOff>
          <xdr:row>35</xdr:row>
          <xdr:rowOff>7620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34</xdr:row>
          <xdr:rowOff>0</xdr:rowOff>
        </xdr:from>
        <xdr:to>
          <xdr:col>5</xdr:col>
          <xdr:colOff>571500</xdr:colOff>
          <xdr:row>35</xdr:row>
          <xdr:rowOff>7620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29</xdr:row>
          <xdr:rowOff>0</xdr:rowOff>
        </xdr:from>
        <xdr:to>
          <xdr:col>2</xdr:col>
          <xdr:colOff>571500</xdr:colOff>
          <xdr:row>29</xdr:row>
          <xdr:rowOff>236220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29</xdr:row>
          <xdr:rowOff>0</xdr:rowOff>
        </xdr:from>
        <xdr:to>
          <xdr:col>3</xdr:col>
          <xdr:colOff>571500</xdr:colOff>
          <xdr:row>29</xdr:row>
          <xdr:rowOff>236220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29</xdr:row>
          <xdr:rowOff>0</xdr:rowOff>
        </xdr:from>
        <xdr:to>
          <xdr:col>4</xdr:col>
          <xdr:colOff>571500</xdr:colOff>
          <xdr:row>29</xdr:row>
          <xdr:rowOff>236220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29</xdr:row>
          <xdr:rowOff>0</xdr:rowOff>
        </xdr:from>
        <xdr:to>
          <xdr:col>5</xdr:col>
          <xdr:colOff>571500</xdr:colOff>
          <xdr:row>29</xdr:row>
          <xdr:rowOff>236220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29</xdr:row>
          <xdr:rowOff>0</xdr:rowOff>
        </xdr:from>
        <xdr:to>
          <xdr:col>3</xdr:col>
          <xdr:colOff>571500</xdr:colOff>
          <xdr:row>29</xdr:row>
          <xdr:rowOff>236220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29</xdr:row>
          <xdr:rowOff>0</xdr:rowOff>
        </xdr:from>
        <xdr:to>
          <xdr:col>4</xdr:col>
          <xdr:colOff>571500</xdr:colOff>
          <xdr:row>29</xdr:row>
          <xdr:rowOff>236220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29</xdr:row>
          <xdr:rowOff>0</xdr:rowOff>
        </xdr:from>
        <xdr:to>
          <xdr:col>5</xdr:col>
          <xdr:colOff>571500</xdr:colOff>
          <xdr:row>29</xdr:row>
          <xdr:rowOff>236220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35</xdr:row>
          <xdr:rowOff>0</xdr:rowOff>
        </xdr:from>
        <xdr:to>
          <xdr:col>2</xdr:col>
          <xdr:colOff>571500</xdr:colOff>
          <xdr:row>36</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35</xdr:row>
          <xdr:rowOff>0</xdr:rowOff>
        </xdr:from>
        <xdr:to>
          <xdr:col>3</xdr:col>
          <xdr:colOff>571500</xdr:colOff>
          <xdr:row>36</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35</xdr:row>
          <xdr:rowOff>0</xdr:rowOff>
        </xdr:from>
        <xdr:to>
          <xdr:col>3</xdr:col>
          <xdr:colOff>571500</xdr:colOff>
          <xdr:row>36</xdr:row>
          <xdr:rowOff>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35</xdr:row>
          <xdr:rowOff>0</xdr:rowOff>
        </xdr:from>
        <xdr:to>
          <xdr:col>4</xdr:col>
          <xdr:colOff>571500</xdr:colOff>
          <xdr:row>36</xdr:row>
          <xdr:rowOff>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35</xdr:row>
          <xdr:rowOff>0</xdr:rowOff>
        </xdr:from>
        <xdr:to>
          <xdr:col>4</xdr:col>
          <xdr:colOff>571500</xdr:colOff>
          <xdr:row>36</xdr:row>
          <xdr:rowOff>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35</xdr:row>
          <xdr:rowOff>0</xdr:rowOff>
        </xdr:from>
        <xdr:to>
          <xdr:col>5</xdr:col>
          <xdr:colOff>571500</xdr:colOff>
          <xdr:row>36</xdr:row>
          <xdr:rowOff>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35</xdr:row>
          <xdr:rowOff>0</xdr:rowOff>
        </xdr:from>
        <xdr:to>
          <xdr:col>5</xdr:col>
          <xdr:colOff>571500</xdr:colOff>
          <xdr:row>36</xdr:row>
          <xdr:rowOff>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33</xdr:row>
          <xdr:rowOff>7620</xdr:rowOff>
        </xdr:from>
        <xdr:to>
          <xdr:col>4</xdr:col>
          <xdr:colOff>7620</xdr:colOff>
          <xdr:row>33</xdr:row>
          <xdr:rowOff>228600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ja-JP" altLang="en-US" sz="900" b="0" i="0" u="none" strike="noStrike" baseline="0">
                  <a:solidFill>
                    <a:srgbClr val="000000"/>
                  </a:solidFill>
                  <a:latin typeface="Meiryo UI"/>
                  <a:ea typeface="Meiryo UI"/>
                </a:rPr>
                <a:t>勾配補正</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716280</xdr:colOff>
          <xdr:row>33</xdr:row>
          <xdr:rowOff>228600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ja-JP" altLang="en-US" sz="900" b="0" i="0" u="none" strike="noStrike" baseline="0">
                  <a:solidFill>
                    <a:srgbClr val="000000"/>
                  </a:solidFill>
                  <a:latin typeface="Meiryo UI"/>
                  <a:ea typeface="Meiryo UI"/>
                </a:rPr>
                <a:t>勾配補正</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33</xdr:row>
          <xdr:rowOff>7620</xdr:rowOff>
        </xdr:from>
        <xdr:to>
          <xdr:col>5</xdr:col>
          <xdr:colOff>716280</xdr:colOff>
          <xdr:row>33</xdr:row>
          <xdr:rowOff>228600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ja-JP" altLang="en-US" sz="900" b="0" i="0" u="none" strike="noStrike" baseline="0">
                  <a:solidFill>
                    <a:srgbClr val="000000"/>
                  </a:solidFill>
                  <a:latin typeface="Meiryo UI"/>
                  <a:ea typeface="Meiryo UI"/>
                </a:rPr>
                <a:t>勾配補正</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3</xdr:row>
          <xdr:rowOff>7620</xdr:rowOff>
        </xdr:from>
        <xdr:to>
          <xdr:col>1</xdr:col>
          <xdr:colOff>723900</xdr:colOff>
          <xdr:row>3</xdr:row>
          <xdr:rowOff>220980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1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7</xdr:col>
      <xdr:colOff>374650</xdr:colOff>
      <xdr:row>2</xdr:row>
      <xdr:rowOff>57150</xdr:rowOff>
    </xdr:from>
    <xdr:ext cx="309880" cy="273685"/>
    <xdr:sp macro="" textlink="">
      <xdr:nvSpPr>
        <xdr:cNvPr id="2" name="テキストボックス 2">
          <a:extLst>
            <a:ext uri="{FF2B5EF4-FFF2-40B4-BE49-F238E27FC236}">
              <a16:creationId xmlns:a16="http://schemas.microsoft.com/office/drawing/2014/main" id="{45730EA5-B801-4195-8EA5-EAC1E04149C8}"/>
            </a:ext>
          </a:extLst>
        </xdr:cNvPr>
        <xdr:cNvSpPr txBox="1"/>
      </xdr:nvSpPr>
      <xdr:spPr>
        <a:xfrm>
          <a:off x="5041900" y="476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endParaRPr lang="ja-JP" altLang="en-US" sz="1100"/>
        </a:p>
      </xdr:txBody>
    </xdr:sp>
    <xdr:clientData/>
  </xdr:oneCellAnchor>
  <xdr:oneCellAnchor>
    <xdr:from>
      <xdr:col>7</xdr:col>
      <xdr:colOff>374650</xdr:colOff>
      <xdr:row>39</xdr:row>
      <xdr:rowOff>57150</xdr:rowOff>
    </xdr:from>
    <xdr:ext cx="309880" cy="273685"/>
    <xdr:sp macro="" textlink="">
      <xdr:nvSpPr>
        <xdr:cNvPr id="3" name="テキストボックス 1">
          <a:extLst>
            <a:ext uri="{FF2B5EF4-FFF2-40B4-BE49-F238E27FC236}">
              <a16:creationId xmlns:a16="http://schemas.microsoft.com/office/drawing/2014/main" id="{850C4493-F966-4A9B-BBEB-016DC51ABF15}"/>
            </a:ext>
          </a:extLst>
        </xdr:cNvPr>
        <xdr:cNvSpPr txBox="1"/>
      </xdr:nvSpPr>
      <xdr:spPr>
        <a:xfrm>
          <a:off x="5041900" y="8229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ja-JP">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ja-JP" altLang="en-US" sz="1100"/>
        </a:p>
      </xdr:txBody>
    </xdr:sp>
    <xdr:clientData/>
  </xdr:oneCellAnchor>
  <xdr:oneCellAnchor>
    <xdr:from>
      <xdr:col>7</xdr:col>
      <xdr:colOff>425450</xdr:colOff>
      <xdr:row>38</xdr:row>
      <xdr:rowOff>63500</xdr:rowOff>
    </xdr:from>
    <xdr:ext cx="795020" cy="599440"/>
    <xdr:pic>
      <xdr:nvPicPr>
        <xdr:cNvPr id="4" name="図形 2" descr="2296940">
          <a:extLst>
            <a:ext uri="{FF2B5EF4-FFF2-40B4-BE49-F238E27FC236}">
              <a16:creationId xmlns:a16="http://schemas.microsoft.com/office/drawing/2014/main" id="{0CA7DE3F-F30D-4F35-B941-54E882CDB3C8}"/>
            </a:ext>
          </a:extLst>
        </xdr:cNvPr>
        <xdr:cNvPicPr>
          <a:picLocks noChangeAspect="1"/>
        </xdr:cNvPicPr>
      </xdr:nvPicPr>
      <xdr:blipFill>
        <a:blip xmlns:r="http://schemas.openxmlformats.org/officeDocument/2006/relationships" r:embed="rId1">
          <a:grayscl/>
          <a:lum bright="70000" contrast="-70000"/>
        </a:blip>
        <a:stretch>
          <a:fillRect/>
        </a:stretch>
      </xdr:blipFill>
      <xdr:spPr>
        <a:xfrm>
          <a:off x="5092700" y="8026400"/>
          <a:ext cx="795020" cy="59944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7</xdr:col>
      <xdr:colOff>1398199</xdr:colOff>
      <xdr:row>0</xdr:row>
      <xdr:rowOff>23355</xdr:rowOff>
    </xdr:from>
    <xdr:to>
      <xdr:col>7</xdr:col>
      <xdr:colOff>2057540</xdr:colOff>
      <xdr:row>2</xdr:row>
      <xdr:rowOff>144640</xdr:rowOff>
    </xdr:to>
    <xdr:sp macro="" textlink="">
      <xdr:nvSpPr>
        <xdr:cNvPr id="2" name="フレーム 1">
          <a:extLst>
            <a:ext uri="{FF2B5EF4-FFF2-40B4-BE49-F238E27FC236}">
              <a16:creationId xmlns:a16="http://schemas.microsoft.com/office/drawing/2014/main" id="{7A78ADA3-0C56-4181-B758-0C866AE2C193}"/>
            </a:ext>
          </a:extLst>
        </xdr:cNvPr>
        <xdr:cNvSpPr/>
      </xdr:nvSpPr>
      <xdr:spPr>
        <a:xfrm>
          <a:off x="7583099" y="23355"/>
          <a:ext cx="659341" cy="762635"/>
        </a:xfrm>
        <a:prstGeom prst="frame">
          <a:avLst/>
        </a:prstGeom>
        <a:noFill/>
        <a:ln w="12700">
          <a:solidFill>
            <a:schemeClr val="bg1">
              <a:lumMod val="85000"/>
              <a:alpha val="82000"/>
            </a:schemeClr>
          </a:solidFill>
          <a:prstDash val="sysDot"/>
        </a:ln>
        <a:extLst>
          <a:ext uri="{909E8E84-426E-40DD-AFC4-6F175D3DCCD1}">
            <a14:hiddenFill xmlns:a14="http://schemas.microsoft.com/office/drawing/2010/main">
              <a:solidFill>
                <a:schemeClr val="bg1">
                  <a:lumMod val="85000"/>
                </a:schemeClr>
              </a:solidFill>
            </a14:hiddenFill>
          </a:ext>
        </a:ex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pPr algn="l"/>
          <a:endParaRPr lang="ja-JP" altLang="en-US" sz="1100"/>
        </a:p>
      </xdr:txBody>
    </xdr:sp>
    <xdr:clientData/>
  </xdr:twoCellAnchor>
  <xdr:twoCellAnchor>
    <xdr:from>
      <xdr:col>0</xdr:col>
      <xdr:colOff>6350</xdr:colOff>
      <xdr:row>7</xdr:row>
      <xdr:rowOff>0</xdr:rowOff>
    </xdr:from>
    <xdr:to>
      <xdr:col>7</xdr:col>
      <xdr:colOff>1003300</xdr:colOff>
      <xdr:row>7</xdr:row>
      <xdr:rowOff>0</xdr:rowOff>
    </xdr:to>
    <xdr:cxnSp macro="">
      <xdr:nvCxnSpPr>
        <xdr:cNvPr id="3" name="直線コネクタ 2">
          <a:extLst>
            <a:ext uri="{FF2B5EF4-FFF2-40B4-BE49-F238E27FC236}">
              <a16:creationId xmlns:a16="http://schemas.microsoft.com/office/drawing/2014/main" id="{91A5B6A0-D80B-432F-8A14-302803DED309}"/>
            </a:ext>
          </a:extLst>
        </xdr:cNvPr>
        <xdr:cNvCxnSpPr/>
      </xdr:nvCxnSpPr>
      <xdr:spPr>
        <a:xfrm>
          <a:off x="6350" y="2152650"/>
          <a:ext cx="7181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6350</xdr:colOff>
      <xdr:row>10</xdr:row>
      <xdr:rowOff>6350</xdr:rowOff>
    </xdr:from>
    <xdr:to>
      <xdr:col>3</xdr:col>
      <xdr:colOff>13335</xdr:colOff>
      <xdr:row>10</xdr:row>
      <xdr:rowOff>8890</xdr:rowOff>
    </xdr:to>
    <xdr:cxnSp macro="">
      <xdr:nvCxnSpPr>
        <xdr:cNvPr id="4" name="直線コネクタ 3">
          <a:extLst>
            <a:ext uri="{FF2B5EF4-FFF2-40B4-BE49-F238E27FC236}">
              <a16:creationId xmlns:a16="http://schemas.microsoft.com/office/drawing/2014/main" id="{93061AE1-3845-49DB-BFF2-44131A4E0025}"/>
            </a:ext>
          </a:extLst>
        </xdr:cNvPr>
        <xdr:cNvCxnSpPr/>
      </xdr:nvCxnSpPr>
      <xdr:spPr>
        <a:xfrm flipV="1">
          <a:off x="6350" y="3225800"/>
          <a:ext cx="2248535" cy="254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2343150</xdr:colOff>
      <xdr:row>11</xdr:row>
      <xdr:rowOff>215900</xdr:rowOff>
    </xdr:from>
    <xdr:to>
      <xdr:col>5</xdr:col>
      <xdr:colOff>952500</xdr:colOff>
      <xdr:row>12</xdr:row>
      <xdr:rowOff>0</xdr:rowOff>
    </xdr:to>
    <xdr:cxnSp macro="">
      <xdr:nvCxnSpPr>
        <xdr:cNvPr id="5" name="直線コネクタ 4">
          <a:extLst>
            <a:ext uri="{FF2B5EF4-FFF2-40B4-BE49-F238E27FC236}">
              <a16:creationId xmlns:a16="http://schemas.microsoft.com/office/drawing/2014/main" id="{1D181B5A-764D-4A89-B9E1-13D0ADEBA276}"/>
            </a:ext>
          </a:extLst>
        </xdr:cNvPr>
        <xdr:cNvCxnSpPr/>
      </xdr:nvCxnSpPr>
      <xdr:spPr>
        <a:xfrm flipV="1">
          <a:off x="1682750" y="3663950"/>
          <a:ext cx="3308350" cy="1270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10</xdr:row>
      <xdr:rowOff>215900</xdr:rowOff>
    </xdr:from>
    <xdr:to>
      <xdr:col>5</xdr:col>
      <xdr:colOff>960120</xdr:colOff>
      <xdr:row>11</xdr:row>
      <xdr:rowOff>0</xdr:rowOff>
    </xdr:to>
    <xdr:cxnSp macro="">
      <xdr:nvCxnSpPr>
        <xdr:cNvPr id="6" name="直線コネクタ 5">
          <a:extLst>
            <a:ext uri="{FF2B5EF4-FFF2-40B4-BE49-F238E27FC236}">
              <a16:creationId xmlns:a16="http://schemas.microsoft.com/office/drawing/2014/main" id="{64CD0B06-339F-4524-8BED-1D51CB31B4E8}"/>
            </a:ext>
          </a:extLst>
        </xdr:cNvPr>
        <xdr:cNvCxnSpPr/>
      </xdr:nvCxnSpPr>
      <xdr:spPr>
        <a:xfrm flipV="1">
          <a:off x="1690370" y="3435350"/>
          <a:ext cx="3308350" cy="1270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6350</xdr:colOff>
      <xdr:row>8</xdr:row>
      <xdr:rowOff>0</xdr:rowOff>
    </xdr:from>
    <xdr:to>
      <xdr:col>7</xdr:col>
      <xdr:colOff>1003300</xdr:colOff>
      <xdr:row>8</xdr:row>
      <xdr:rowOff>0</xdr:rowOff>
    </xdr:to>
    <xdr:cxnSp macro="">
      <xdr:nvCxnSpPr>
        <xdr:cNvPr id="7" name="直線コネクタ 6">
          <a:extLst>
            <a:ext uri="{FF2B5EF4-FFF2-40B4-BE49-F238E27FC236}">
              <a16:creationId xmlns:a16="http://schemas.microsoft.com/office/drawing/2014/main" id="{F7EEB381-8608-4A83-8623-029EE3F569F5}"/>
            </a:ext>
          </a:extLst>
        </xdr:cNvPr>
        <xdr:cNvCxnSpPr/>
      </xdr:nvCxnSpPr>
      <xdr:spPr>
        <a:xfrm>
          <a:off x="6350" y="2508250"/>
          <a:ext cx="7181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12700</xdr:colOff>
      <xdr:row>9</xdr:row>
      <xdr:rowOff>0</xdr:rowOff>
    </xdr:from>
    <xdr:to>
      <xdr:col>7</xdr:col>
      <xdr:colOff>1009650</xdr:colOff>
      <xdr:row>9</xdr:row>
      <xdr:rowOff>0</xdr:rowOff>
    </xdr:to>
    <xdr:cxnSp macro="">
      <xdr:nvCxnSpPr>
        <xdr:cNvPr id="8" name="直線コネクタ 7">
          <a:extLst>
            <a:ext uri="{FF2B5EF4-FFF2-40B4-BE49-F238E27FC236}">
              <a16:creationId xmlns:a16="http://schemas.microsoft.com/office/drawing/2014/main" id="{3E6EB9AB-37ED-4C23-81BA-0919F70E1C16}"/>
            </a:ext>
          </a:extLst>
        </xdr:cNvPr>
        <xdr:cNvCxnSpPr/>
      </xdr:nvCxnSpPr>
      <xdr:spPr>
        <a:xfrm>
          <a:off x="12700" y="2850444"/>
          <a:ext cx="7177617"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635</xdr:colOff>
      <xdr:row>19</xdr:row>
      <xdr:rowOff>280670</xdr:rowOff>
    </xdr:from>
    <xdr:to>
      <xdr:col>4</xdr:col>
      <xdr:colOff>5080</xdr:colOff>
      <xdr:row>19</xdr:row>
      <xdr:rowOff>285115</xdr:rowOff>
    </xdr:to>
    <xdr:cxnSp macro="">
      <xdr:nvCxnSpPr>
        <xdr:cNvPr id="9" name="直線コネクタ 8">
          <a:extLst>
            <a:ext uri="{FF2B5EF4-FFF2-40B4-BE49-F238E27FC236}">
              <a16:creationId xmlns:a16="http://schemas.microsoft.com/office/drawing/2014/main" id="{8E72F9CD-48CB-4322-B0AB-741F739C9F06}"/>
            </a:ext>
          </a:extLst>
        </xdr:cNvPr>
        <xdr:cNvCxnSpPr/>
      </xdr:nvCxnSpPr>
      <xdr:spPr>
        <a:xfrm flipV="1">
          <a:off x="635" y="5646420"/>
          <a:ext cx="3065145" cy="44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862330</xdr:colOff>
      <xdr:row>23</xdr:row>
      <xdr:rowOff>0</xdr:rowOff>
    </xdr:from>
    <xdr:to>
      <xdr:col>7</xdr:col>
      <xdr:colOff>13970</xdr:colOff>
      <xdr:row>23</xdr:row>
      <xdr:rowOff>6350</xdr:rowOff>
    </xdr:to>
    <xdr:cxnSp macro="">
      <xdr:nvCxnSpPr>
        <xdr:cNvPr id="10" name="直線コネクタ 9">
          <a:extLst>
            <a:ext uri="{FF2B5EF4-FFF2-40B4-BE49-F238E27FC236}">
              <a16:creationId xmlns:a16="http://schemas.microsoft.com/office/drawing/2014/main" id="{CE4D93DE-9873-4455-863E-E404CABC6D53}"/>
            </a:ext>
          </a:extLst>
        </xdr:cNvPr>
        <xdr:cNvCxnSpPr/>
      </xdr:nvCxnSpPr>
      <xdr:spPr>
        <a:xfrm>
          <a:off x="862330" y="64770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854710</xdr:colOff>
      <xdr:row>24</xdr:row>
      <xdr:rowOff>354965</xdr:rowOff>
    </xdr:from>
    <xdr:to>
      <xdr:col>7</xdr:col>
      <xdr:colOff>6350</xdr:colOff>
      <xdr:row>25</xdr:row>
      <xdr:rowOff>5715</xdr:rowOff>
    </xdr:to>
    <xdr:cxnSp macro="">
      <xdr:nvCxnSpPr>
        <xdr:cNvPr id="11" name="直線コネクタ 10">
          <a:extLst>
            <a:ext uri="{FF2B5EF4-FFF2-40B4-BE49-F238E27FC236}">
              <a16:creationId xmlns:a16="http://schemas.microsoft.com/office/drawing/2014/main" id="{828CE5DB-4B28-467E-9510-83366A2265A1}"/>
            </a:ext>
          </a:extLst>
        </xdr:cNvPr>
        <xdr:cNvCxnSpPr/>
      </xdr:nvCxnSpPr>
      <xdr:spPr>
        <a:xfrm>
          <a:off x="854710" y="7047865"/>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27</xdr:row>
      <xdr:rowOff>0</xdr:rowOff>
    </xdr:from>
    <xdr:to>
      <xdr:col>7</xdr:col>
      <xdr:colOff>15240</xdr:colOff>
      <xdr:row>27</xdr:row>
      <xdr:rowOff>6350</xdr:rowOff>
    </xdr:to>
    <xdr:cxnSp macro="">
      <xdr:nvCxnSpPr>
        <xdr:cNvPr id="12" name="直線コネクタ 11">
          <a:extLst>
            <a:ext uri="{FF2B5EF4-FFF2-40B4-BE49-F238E27FC236}">
              <a16:creationId xmlns:a16="http://schemas.microsoft.com/office/drawing/2014/main" id="{4679525C-AEAF-4BC8-B784-5C5C339F84DC}"/>
            </a:ext>
          </a:extLst>
        </xdr:cNvPr>
        <xdr:cNvCxnSpPr/>
      </xdr:nvCxnSpPr>
      <xdr:spPr>
        <a:xfrm>
          <a:off x="863600" y="76327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862330</xdr:colOff>
      <xdr:row>32</xdr:row>
      <xdr:rowOff>0</xdr:rowOff>
    </xdr:from>
    <xdr:to>
      <xdr:col>7</xdr:col>
      <xdr:colOff>13970</xdr:colOff>
      <xdr:row>32</xdr:row>
      <xdr:rowOff>6350</xdr:rowOff>
    </xdr:to>
    <xdr:cxnSp macro="">
      <xdr:nvCxnSpPr>
        <xdr:cNvPr id="13" name="直線コネクタ 12">
          <a:extLst>
            <a:ext uri="{FF2B5EF4-FFF2-40B4-BE49-F238E27FC236}">
              <a16:creationId xmlns:a16="http://schemas.microsoft.com/office/drawing/2014/main" id="{EE751EF8-944F-4EF8-8D64-CFDB5C011331}"/>
            </a:ext>
          </a:extLst>
        </xdr:cNvPr>
        <xdr:cNvCxnSpPr/>
      </xdr:nvCxnSpPr>
      <xdr:spPr>
        <a:xfrm>
          <a:off x="862330" y="89154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854710</xdr:colOff>
      <xdr:row>33</xdr:row>
      <xdr:rowOff>354965</xdr:rowOff>
    </xdr:from>
    <xdr:to>
      <xdr:col>7</xdr:col>
      <xdr:colOff>6350</xdr:colOff>
      <xdr:row>34</xdr:row>
      <xdr:rowOff>5715</xdr:rowOff>
    </xdr:to>
    <xdr:cxnSp macro="">
      <xdr:nvCxnSpPr>
        <xdr:cNvPr id="14" name="直線コネクタ 13">
          <a:extLst>
            <a:ext uri="{FF2B5EF4-FFF2-40B4-BE49-F238E27FC236}">
              <a16:creationId xmlns:a16="http://schemas.microsoft.com/office/drawing/2014/main" id="{6ACF2F9E-DA26-4FE6-8CD9-77E22158BF52}"/>
            </a:ext>
          </a:extLst>
        </xdr:cNvPr>
        <xdr:cNvCxnSpPr/>
      </xdr:nvCxnSpPr>
      <xdr:spPr>
        <a:xfrm>
          <a:off x="854710" y="9486265"/>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40</xdr:row>
      <xdr:rowOff>0</xdr:rowOff>
    </xdr:from>
    <xdr:to>
      <xdr:col>7</xdr:col>
      <xdr:colOff>15240</xdr:colOff>
      <xdr:row>40</xdr:row>
      <xdr:rowOff>6350</xdr:rowOff>
    </xdr:to>
    <xdr:cxnSp macro="">
      <xdr:nvCxnSpPr>
        <xdr:cNvPr id="15" name="直線コネクタ 14">
          <a:extLst>
            <a:ext uri="{FF2B5EF4-FFF2-40B4-BE49-F238E27FC236}">
              <a16:creationId xmlns:a16="http://schemas.microsoft.com/office/drawing/2014/main" id="{536885BC-F214-46CE-B622-14C50F787576}"/>
            </a:ext>
          </a:extLst>
        </xdr:cNvPr>
        <xdr:cNvCxnSpPr/>
      </xdr:nvCxnSpPr>
      <xdr:spPr>
        <a:xfrm>
          <a:off x="863600" y="112268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862330</xdr:colOff>
      <xdr:row>36</xdr:row>
      <xdr:rowOff>0</xdr:rowOff>
    </xdr:from>
    <xdr:to>
      <xdr:col>7</xdr:col>
      <xdr:colOff>13970</xdr:colOff>
      <xdr:row>36</xdr:row>
      <xdr:rowOff>6350</xdr:rowOff>
    </xdr:to>
    <xdr:cxnSp macro="">
      <xdr:nvCxnSpPr>
        <xdr:cNvPr id="16" name="直線コネクタ 15">
          <a:extLst>
            <a:ext uri="{FF2B5EF4-FFF2-40B4-BE49-F238E27FC236}">
              <a16:creationId xmlns:a16="http://schemas.microsoft.com/office/drawing/2014/main" id="{8530D9E3-0374-4E41-B864-1588A1C046E3}"/>
            </a:ext>
          </a:extLst>
        </xdr:cNvPr>
        <xdr:cNvCxnSpPr/>
      </xdr:nvCxnSpPr>
      <xdr:spPr>
        <a:xfrm>
          <a:off x="862330" y="100711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854710</xdr:colOff>
      <xdr:row>37</xdr:row>
      <xdr:rowOff>354965</xdr:rowOff>
    </xdr:from>
    <xdr:to>
      <xdr:col>7</xdr:col>
      <xdr:colOff>6350</xdr:colOff>
      <xdr:row>38</xdr:row>
      <xdr:rowOff>5715</xdr:rowOff>
    </xdr:to>
    <xdr:cxnSp macro="">
      <xdr:nvCxnSpPr>
        <xdr:cNvPr id="17" name="直線コネクタ 16">
          <a:extLst>
            <a:ext uri="{FF2B5EF4-FFF2-40B4-BE49-F238E27FC236}">
              <a16:creationId xmlns:a16="http://schemas.microsoft.com/office/drawing/2014/main" id="{2F306B3F-0511-48FB-A0BB-12DEFC95F9D4}"/>
            </a:ext>
          </a:extLst>
        </xdr:cNvPr>
        <xdr:cNvCxnSpPr/>
      </xdr:nvCxnSpPr>
      <xdr:spPr>
        <a:xfrm>
          <a:off x="854710" y="10641965"/>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1405255</xdr:colOff>
      <xdr:row>42</xdr:row>
      <xdr:rowOff>23495</xdr:rowOff>
    </xdr:from>
    <xdr:to>
      <xdr:col>7</xdr:col>
      <xdr:colOff>2065655</xdr:colOff>
      <xdr:row>44</xdr:row>
      <xdr:rowOff>144780</xdr:rowOff>
    </xdr:to>
    <xdr:sp macro="" textlink="">
      <xdr:nvSpPr>
        <xdr:cNvPr id="18" name="フレーム 17">
          <a:extLst>
            <a:ext uri="{FF2B5EF4-FFF2-40B4-BE49-F238E27FC236}">
              <a16:creationId xmlns:a16="http://schemas.microsoft.com/office/drawing/2014/main" id="{78FEBDC1-AC20-4122-A653-194CDF3318CF}"/>
            </a:ext>
          </a:extLst>
        </xdr:cNvPr>
        <xdr:cNvSpPr/>
      </xdr:nvSpPr>
      <xdr:spPr>
        <a:xfrm>
          <a:off x="7590155" y="11707495"/>
          <a:ext cx="660400" cy="762635"/>
        </a:xfrm>
        <a:prstGeom prst="frame">
          <a:avLst/>
        </a:prstGeom>
        <a:noFill/>
        <a:ln w="12700">
          <a:solidFill>
            <a:schemeClr val="bg1">
              <a:lumMod val="85000"/>
              <a:alpha val="82000"/>
            </a:schemeClr>
          </a:solidFill>
          <a:prstDash val="sysDot"/>
        </a:ln>
        <a:extLst>
          <a:ext uri="{909E8E84-426E-40DD-AFC4-6F175D3DCCD1}">
            <a14:hiddenFill xmlns:a14="http://schemas.microsoft.com/office/drawing/2010/main">
              <a:solidFill>
                <a:schemeClr val="bg1">
                  <a:lumMod val="85000"/>
                </a:schemeClr>
              </a:solidFill>
            </a14:hiddenFill>
          </a:ext>
        </a:ex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defPPr>
            <a:defRPr lang="ja-JP">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endParaRPr lang="ja-JP" altLang="en-US" sz="1100"/>
        </a:p>
      </xdr:txBody>
    </xdr:sp>
    <xdr:clientData/>
  </xdr:twoCellAnchor>
  <xdr:twoCellAnchor>
    <xdr:from>
      <xdr:col>0</xdr:col>
      <xdr:colOff>6350</xdr:colOff>
      <xdr:row>49</xdr:row>
      <xdr:rowOff>0</xdr:rowOff>
    </xdr:from>
    <xdr:to>
      <xdr:col>7</xdr:col>
      <xdr:colOff>1003300</xdr:colOff>
      <xdr:row>49</xdr:row>
      <xdr:rowOff>0</xdr:rowOff>
    </xdr:to>
    <xdr:cxnSp macro="">
      <xdr:nvCxnSpPr>
        <xdr:cNvPr id="19" name="直線コネクタ 18">
          <a:extLst>
            <a:ext uri="{FF2B5EF4-FFF2-40B4-BE49-F238E27FC236}">
              <a16:creationId xmlns:a16="http://schemas.microsoft.com/office/drawing/2014/main" id="{9C66B8C1-E84C-44B6-9A9A-36252E81C1FD}"/>
            </a:ext>
          </a:extLst>
        </xdr:cNvPr>
        <xdr:cNvCxnSpPr/>
      </xdr:nvCxnSpPr>
      <xdr:spPr>
        <a:xfrm>
          <a:off x="6350" y="13836650"/>
          <a:ext cx="7181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6350</xdr:colOff>
      <xdr:row>52</xdr:row>
      <xdr:rowOff>6350</xdr:rowOff>
    </xdr:from>
    <xdr:to>
      <xdr:col>3</xdr:col>
      <xdr:colOff>13335</xdr:colOff>
      <xdr:row>52</xdr:row>
      <xdr:rowOff>8890</xdr:rowOff>
    </xdr:to>
    <xdr:cxnSp macro="">
      <xdr:nvCxnSpPr>
        <xdr:cNvPr id="20" name="直線コネクタ 19">
          <a:extLst>
            <a:ext uri="{FF2B5EF4-FFF2-40B4-BE49-F238E27FC236}">
              <a16:creationId xmlns:a16="http://schemas.microsoft.com/office/drawing/2014/main" id="{B2513AB2-5736-498E-B004-D3A4EDEF5E52}"/>
            </a:ext>
          </a:extLst>
        </xdr:cNvPr>
        <xdr:cNvCxnSpPr/>
      </xdr:nvCxnSpPr>
      <xdr:spPr>
        <a:xfrm flipV="1">
          <a:off x="6350" y="14909800"/>
          <a:ext cx="2248535" cy="254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2343150</xdr:colOff>
      <xdr:row>53</xdr:row>
      <xdr:rowOff>215900</xdr:rowOff>
    </xdr:from>
    <xdr:to>
      <xdr:col>5</xdr:col>
      <xdr:colOff>952500</xdr:colOff>
      <xdr:row>54</xdr:row>
      <xdr:rowOff>0</xdr:rowOff>
    </xdr:to>
    <xdr:cxnSp macro="">
      <xdr:nvCxnSpPr>
        <xdr:cNvPr id="21" name="直線コネクタ 20">
          <a:extLst>
            <a:ext uri="{FF2B5EF4-FFF2-40B4-BE49-F238E27FC236}">
              <a16:creationId xmlns:a16="http://schemas.microsoft.com/office/drawing/2014/main" id="{65F5337D-D426-40F4-88AC-AA4801679C7B}"/>
            </a:ext>
          </a:extLst>
        </xdr:cNvPr>
        <xdr:cNvCxnSpPr/>
      </xdr:nvCxnSpPr>
      <xdr:spPr>
        <a:xfrm flipV="1">
          <a:off x="1682750" y="15347950"/>
          <a:ext cx="3308350" cy="1270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7620</xdr:colOff>
      <xdr:row>52</xdr:row>
      <xdr:rowOff>215900</xdr:rowOff>
    </xdr:from>
    <xdr:to>
      <xdr:col>5</xdr:col>
      <xdr:colOff>960120</xdr:colOff>
      <xdr:row>53</xdr:row>
      <xdr:rowOff>0</xdr:rowOff>
    </xdr:to>
    <xdr:cxnSp macro="">
      <xdr:nvCxnSpPr>
        <xdr:cNvPr id="22" name="直線コネクタ 21">
          <a:extLst>
            <a:ext uri="{FF2B5EF4-FFF2-40B4-BE49-F238E27FC236}">
              <a16:creationId xmlns:a16="http://schemas.microsoft.com/office/drawing/2014/main" id="{D7B0A10D-8B0E-4601-9EA9-42BB3759CC83}"/>
            </a:ext>
          </a:extLst>
        </xdr:cNvPr>
        <xdr:cNvCxnSpPr/>
      </xdr:nvCxnSpPr>
      <xdr:spPr>
        <a:xfrm flipV="1">
          <a:off x="1690370" y="15119350"/>
          <a:ext cx="3308350" cy="12700"/>
        </a:xfrm>
        <a:prstGeom prst="line">
          <a:avLst/>
        </a:prstGeom>
        <a:ln>
          <a:prstDash val="dash"/>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6350</xdr:colOff>
      <xdr:row>50</xdr:row>
      <xdr:rowOff>0</xdr:rowOff>
    </xdr:from>
    <xdr:to>
      <xdr:col>7</xdr:col>
      <xdr:colOff>1003300</xdr:colOff>
      <xdr:row>50</xdr:row>
      <xdr:rowOff>0</xdr:rowOff>
    </xdr:to>
    <xdr:cxnSp macro="">
      <xdr:nvCxnSpPr>
        <xdr:cNvPr id="23" name="直線コネクタ 22">
          <a:extLst>
            <a:ext uri="{FF2B5EF4-FFF2-40B4-BE49-F238E27FC236}">
              <a16:creationId xmlns:a16="http://schemas.microsoft.com/office/drawing/2014/main" id="{E151E5A4-2934-4E84-B240-493B17EB6297}"/>
            </a:ext>
          </a:extLst>
        </xdr:cNvPr>
        <xdr:cNvCxnSpPr/>
      </xdr:nvCxnSpPr>
      <xdr:spPr>
        <a:xfrm>
          <a:off x="6350" y="14192250"/>
          <a:ext cx="7181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12700</xdr:colOff>
      <xdr:row>51</xdr:row>
      <xdr:rowOff>0</xdr:rowOff>
    </xdr:from>
    <xdr:to>
      <xdr:col>7</xdr:col>
      <xdr:colOff>1009650</xdr:colOff>
      <xdr:row>51</xdr:row>
      <xdr:rowOff>0</xdr:rowOff>
    </xdr:to>
    <xdr:cxnSp macro="">
      <xdr:nvCxnSpPr>
        <xdr:cNvPr id="24" name="直線コネクタ 23">
          <a:extLst>
            <a:ext uri="{FF2B5EF4-FFF2-40B4-BE49-F238E27FC236}">
              <a16:creationId xmlns:a16="http://schemas.microsoft.com/office/drawing/2014/main" id="{BFD5D545-1C23-42C5-A2DE-92FC4E3B7A5C}"/>
            </a:ext>
          </a:extLst>
        </xdr:cNvPr>
        <xdr:cNvCxnSpPr/>
      </xdr:nvCxnSpPr>
      <xdr:spPr>
        <a:xfrm>
          <a:off x="12700" y="14547850"/>
          <a:ext cx="7181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635</xdr:colOff>
      <xdr:row>61</xdr:row>
      <xdr:rowOff>280670</xdr:rowOff>
    </xdr:from>
    <xdr:to>
      <xdr:col>4</xdr:col>
      <xdr:colOff>5080</xdr:colOff>
      <xdr:row>61</xdr:row>
      <xdr:rowOff>285115</xdr:rowOff>
    </xdr:to>
    <xdr:cxnSp macro="">
      <xdr:nvCxnSpPr>
        <xdr:cNvPr id="25" name="直線コネクタ 24">
          <a:extLst>
            <a:ext uri="{FF2B5EF4-FFF2-40B4-BE49-F238E27FC236}">
              <a16:creationId xmlns:a16="http://schemas.microsoft.com/office/drawing/2014/main" id="{228D9935-272F-475B-95ED-C519508D9BBF}"/>
            </a:ext>
          </a:extLst>
        </xdr:cNvPr>
        <xdr:cNvCxnSpPr/>
      </xdr:nvCxnSpPr>
      <xdr:spPr>
        <a:xfrm flipV="1">
          <a:off x="635" y="17330420"/>
          <a:ext cx="3065145" cy="444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862330</xdr:colOff>
      <xdr:row>65</xdr:row>
      <xdr:rowOff>0</xdr:rowOff>
    </xdr:from>
    <xdr:to>
      <xdr:col>7</xdr:col>
      <xdr:colOff>13970</xdr:colOff>
      <xdr:row>65</xdr:row>
      <xdr:rowOff>6350</xdr:rowOff>
    </xdr:to>
    <xdr:cxnSp macro="">
      <xdr:nvCxnSpPr>
        <xdr:cNvPr id="26" name="直線コネクタ 25">
          <a:extLst>
            <a:ext uri="{FF2B5EF4-FFF2-40B4-BE49-F238E27FC236}">
              <a16:creationId xmlns:a16="http://schemas.microsoft.com/office/drawing/2014/main" id="{E00A5677-49D7-4BF5-820D-83D7AE7BFF6E}"/>
            </a:ext>
          </a:extLst>
        </xdr:cNvPr>
        <xdr:cNvCxnSpPr/>
      </xdr:nvCxnSpPr>
      <xdr:spPr>
        <a:xfrm>
          <a:off x="862330" y="181610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854710</xdr:colOff>
      <xdr:row>66</xdr:row>
      <xdr:rowOff>354965</xdr:rowOff>
    </xdr:from>
    <xdr:to>
      <xdr:col>7</xdr:col>
      <xdr:colOff>6350</xdr:colOff>
      <xdr:row>67</xdr:row>
      <xdr:rowOff>5715</xdr:rowOff>
    </xdr:to>
    <xdr:cxnSp macro="">
      <xdr:nvCxnSpPr>
        <xdr:cNvPr id="27" name="直線コネクタ 26">
          <a:extLst>
            <a:ext uri="{FF2B5EF4-FFF2-40B4-BE49-F238E27FC236}">
              <a16:creationId xmlns:a16="http://schemas.microsoft.com/office/drawing/2014/main" id="{729821E6-5DC4-42A0-96EA-3FF4448E5FC1}"/>
            </a:ext>
          </a:extLst>
        </xdr:cNvPr>
        <xdr:cNvCxnSpPr/>
      </xdr:nvCxnSpPr>
      <xdr:spPr>
        <a:xfrm>
          <a:off x="854710" y="18731865"/>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69</xdr:row>
      <xdr:rowOff>0</xdr:rowOff>
    </xdr:from>
    <xdr:to>
      <xdr:col>7</xdr:col>
      <xdr:colOff>15240</xdr:colOff>
      <xdr:row>69</xdr:row>
      <xdr:rowOff>6350</xdr:rowOff>
    </xdr:to>
    <xdr:cxnSp macro="">
      <xdr:nvCxnSpPr>
        <xdr:cNvPr id="28" name="直線コネクタ 27">
          <a:extLst>
            <a:ext uri="{FF2B5EF4-FFF2-40B4-BE49-F238E27FC236}">
              <a16:creationId xmlns:a16="http://schemas.microsoft.com/office/drawing/2014/main" id="{974A21E0-B59C-4C2E-84A9-4A297561F545}"/>
            </a:ext>
          </a:extLst>
        </xdr:cNvPr>
        <xdr:cNvCxnSpPr/>
      </xdr:nvCxnSpPr>
      <xdr:spPr>
        <a:xfrm>
          <a:off x="863600" y="193167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862330</xdr:colOff>
      <xdr:row>74</xdr:row>
      <xdr:rowOff>0</xdr:rowOff>
    </xdr:from>
    <xdr:to>
      <xdr:col>7</xdr:col>
      <xdr:colOff>13970</xdr:colOff>
      <xdr:row>74</xdr:row>
      <xdr:rowOff>6350</xdr:rowOff>
    </xdr:to>
    <xdr:cxnSp macro="">
      <xdr:nvCxnSpPr>
        <xdr:cNvPr id="29" name="直線コネクタ 28">
          <a:extLst>
            <a:ext uri="{FF2B5EF4-FFF2-40B4-BE49-F238E27FC236}">
              <a16:creationId xmlns:a16="http://schemas.microsoft.com/office/drawing/2014/main" id="{D790A01C-C10A-4D17-BC2F-54FD8FFE9011}"/>
            </a:ext>
          </a:extLst>
        </xdr:cNvPr>
        <xdr:cNvCxnSpPr/>
      </xdr:nvCxnSpPr>
      <xdr:spPr>
        <a:xfrm>
          <a:off x="862330" y="205994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854710</xdr:colOff>
      <xdr:row>75</xdr:row>
      <xdr:rowOff>354965</xdr:rowOff>
    </xdr:from>
    <xdr:to>
      <xdr:col>7</xdr:col>
      <xdr:colOff>6350</xdr:colOff>
      <xdr:row>76</xdr:row>
      <xdr:rowOff>5715</xdr:rowOff>
    </xdr:to>
    <xdr:cxnSp macro="">
      <xdr:nvCxnSpPr>
        <xdr:cNvPr id="30" name="直線コネクタ 29">
          <a:extLst>
            <a:ext uri="{FF2B5EF4-FFF2-40B4-BE49-F238E27FC236}">
              <a16:creationId xmlns:a16="http://schemas.microsoft.com/office/drawing/2014/main" id="{53E269A8-A7C3-4A06-AEEC-E1F8E914D4AD}"/>
            </a:ext>
          </a:extLst>
        </xdr:cNvPr>
        <xdr:cNvCxnSpPr/>
      </xdr:nvCxnSpPr>
      <xdr:spPr>
        <a:xfrm>
          <a:off x="854710" y="21170265"/>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82</xdr:row>
      <xdr:rowOff>0</xdr:rowOff>
    </xdr:from>
    <xdr:to>
      <xdr:col>7</xdr:col>
      <xdr:colOff>15240</xdr:colOff>
      <xdr:row>82</xdr:row>
      <xdr:rowOff>6350</xdr:rowOff>
    </xdr:to>
    <xdr:cxnSp macro="">
      <xdr:nvCxnSpPr>
        <xdr:cNvPr id="31" name="直線コネクタ 30">
          <a:extLst>
            <a:ext uri="{FF2B5EF4-FFF2-40B4-BE49-F238E27FC236}">
              <a16:creationId xmlns:a16="http://schemas.microsoft.com/office/drawing/2014/main" id="{2FA55310-890C-4562-947B-3DAE5A801B50}"/>
            </a:ext>
          </a:extLst>
        </xdr:cNvPr>
        <xdr:cNvCxnSpPr/>
      </xdr:nvCxnSpPr>
      <xdr:spPr>
        <a:xfrm>
          <a:off x="863600" y="229108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862330</xdr:colOff>
      <xdr:row>78</xdr:row>
      <xdr:rowOff>0</xdr:rowOff>
    </xdr:from>
    <xdr:to>
      <xdr:col>7</xdr:col>
      <xdr:colOff>13970</xdr:colOff>
      <xdr:row>78</xdr:row>
      <xdr:rowOff>6350</xdr:rowOff>
    </xdr:to>
    <xdr:cxnSp macro="">
      <xdr:nvCxnSpPr>
        <xdr:cNvPr id="32" name="直線コネクタ 31">
          <a:extLst>
            <a:ext uri="{FF2B5EF4-FFF2-40B4-BE49-F238E27FC236}">
              <a16:creationId xmlns:a16="http://schemas.microsoft.com/office/drawing/2014/main" id="{E4DE2230-445F-4FC8-B567-822074AD1E3E}"/>
            </a:ext>
          </a:extLst>
        </xdr:cNvPr>
        <xdr:cNvCxnSpPr/>
      </xdr:nvCxnSpPr>
      <xdr:spPr>
        <a:xfrm>
          <a:off x="862330" y="21755100"/>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854710</xdr:colOff>
      <xdr:row>79</xdr:row>
      <xdr:rowOff>354965</xdr:rowOff>
    </xdr:from>
    <xdr:to>
      <xdr:col>7</xdr:col>
      <xdr:colOff>6350</xdr:colOff>
      <xdr:row>80</xdr:row>
      <xdr:rowOff>5715</xdr:rowOff>
    </xdr:to>
    <xdr:cxnSp macro="">
      <xdr:nvCxnSpPr>
        <xdr:cNvPr id="33" name="直線コネクタ 32">
          <a:extLst>
            <a:ext uri="{FF2B5EF4-FFF2-40B4-BE49-F238E27FC236}">
              <a16:creationId xmlns:a16="http://schemas.microsoft.com/office/drawing/2014/main" id="{1AD5586C-EEFB-4729-BAFF-2AE010E93102}"/>
            </a:ext>
          </a:extLst>
        </xdr:cNvPr>
        <xdr:cNvCxnSpPr/>
      </xdr:nvCxnSpPr>
      <xdr:spPr>
        <a:xfrm>
          <a:off x="854710" y="22325965"/>
          <a:ext cx="5336540" cy="635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986790</xdr:colOff>
      <xdr:row>45</xdr:row>
      <xdr:rowOff>38100</xdr:rowOff>
    </xdr:from>
    <xdr:ext cx="845185" cy="631261"/>
    <xdr:pic>
      <xdr:nvPicPr>
        <xdr:cNvPr id="34" name="図形 17" descr="2296940">
          <a:extLst>
            <a:ext uri="{FF2B5EF4-FFF2-40B4-BE49-F238E27FC236}">
              <a16:creationId xmlns:a16="http://schemas.microsoft.com/office/drawing/2014/main" id="{58931340-652F-4D2D-B86C-741157EA3026}"/>
            </a:ext>
          </a:extLst>
        </xdr:cNvPr>
        <xdr:cNvPicPr>
          <a:picLocks noChangeAspect="1"/>
        </xdr:cNvPicPr>
      </xdr:nvPicPr>
      <xdr:blipFill>
        <a:blip xmlns:r="http://schemas.openxmlformats.org/officeDocument/2006/relationships" r:embed="rId1">
          <a:grayscl/>
          <a:lum bright="70000" contrast="-70000"/>
        </a:blip>
        <a:stretch>
          <a:fillRect/>
        </a:stretch>
      </xdr:blipFill>
      <xdr:spPr>
        <a:xfrm>
          <a:off x="7171690" y="12592050"/>
          <a:ext cx="845185" cy="63126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7</xdr:col>
      <xdr:colOff>495300</xdr:colOff>
      <xdr:row>41</xdr:row>
      <xdr:rowOff>19050</xdr:rowOff>
    </xdr:from>
    <xdr:ext cx="854075" cy="643255"/>
    <xdr:pic>
      <xdr:nvPicPr>
        <xdr:cNvPr id="3" name="図形 1" descr="2296940">
          <a:extLst>
            <a:ext uri="{FF2B5EF4-FFF2-40B4-BE49-F238E27FC236}">
              <a16:creationId xmlns:a16="http://schemas.microsoft.com/office/drawing/2014/main" id="{C12244D3-449A-4A28-8FEC-5A424D43963A}"/>
            </a:ext>
          </a:extLst>
        </xdr:cNvPr>
        <xdr:cNvPicPr>
          <a:picLocks noChangeAspect="1"/>
        </xdr:cNvPicPr>
      </xdr:nvPicPr>
      <xdr:blipFill>
        <a:blip xmlns:r="http://schemas.openxmlformats.org/officeDocument/2006/relationships" r:embed="rId1">
          <a:grayscl/>
          <a:lum bright="70000" contrast="-70000"/>
        </a:blip>
        <a:stretch>
          <a:fillRect/>
        </a:stretch>
      </xdr:blipFill>
      <xdr:spPr>
        <a:xfrm>
          <a:off x="5162550" y="8883650"/>
          <a:ext cx="854075" cy="643255"/>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0</xdr:rowOff>
    </xdr:from>
    <xdr:to>
      <xdr:col>28</xdr:col>
      <xdr:colOff>209663</xdr:colOff>
      <xdr:row>38</xdr:row>
      <xdr:rowOff>589280</xdr:rowOff>
    </xdr:to>
    <xdr:pic>
      <xdr:nvPicPr>
        <xdr:cNvPr id="2" name="図形 3" descr="23362985">
          <a:extLst>
            <a:ext uri="{FF2B5EF4-FFF2-40B4-BE49-F238E27FC236}">
              <a16:creationId xmlns:a16="http://schemas.microsoft.com/office/drawing/2014/main" id="{D6831FF8-CA4B-449E-B88C-EAB54CB0D941}"/>
            </a:ext>
          </a:extLst>
        </xdr:cNvPr>
        <xdr:cNvPicPr>
          <a:picLocks noChangeAspect="1"/>
        </xdr:cNvPicPr>
      </xdr:nvPicPr>
      <xdr:blipFill>
        <a:blip xmlns:r="http://schemas.openxmlformats.org/officeDocument/2006/relationships" r:embed="rId1"/>
        <a:stretch>
          <a:fillRect/>
        </a:stretch>
      </xdr:blipFill>
      <xdr:spPr>
        <a:xfrm>
          <a:off x="50800" y="0"/>
          <a:ext cx="6693013" cy="925068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7037BC-C28A-4F1C-9CC5-6F47A2DCE833}" name="テーブル2" displayName="テーブル2" ref="A14:H18" totalsRowShown="0">
  <autoFilter ref="A14:H18" xr:uid="{00000000-0009-0000-0100-000002000000}"/>
  <tableColumns count="8">
    <tableColumn id="1" xr3:uid="{E7EC3909-8ABA-4C77-A164-4D829506CD1E}" name="種別"/>
    <tableColumn id="2" xr3:uid="{DDF2AB05-CA58-4185-B84A-E748AC827FBF}" name="日時"/>
    <tableColumn id="8" xr3:uid="{D9E8B448-4C53-4728-9A0F-BA3BEC5750FC}" name="　"/>
    <tableColumn id="9" xr3:uid="{DA22CB96-A9CA-498A-9B36-AA40284BBBD9}" name="  "/>
    <tableColumn id="3" xr3:uid="{8F0561F2-047C-49AD-9020-9E587C8B9B04}" name="小計" dataDxfId="2">
      <calculatedColumnFormula>見積書!L27</calculatedColumnFormula>
    </tableColumn>
    <tableColumn id="4" xr3:uid="{05F0FCC3-531D-472A-BD84-7733E5978DF0}" name=" "/>
    <tableColumn id="5" xr3:uid="{D1C40D21-621F-4A0E-B6DC-87F2B0B071D2}" name="税" dataDxfId="1">
      <calculatedColumnFormula>見積書!L28</calculatedColumnFormula>
    </tableColumn>
    <tableColumn id="6" xr3:uid="{502196B1-2C79-4249-BA87-305D0EC06349}" name="合計" dataDxfId="0">
      <calculatedColumnFormula>見積書!L29</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96B8E-74B3-49A1-80DD-9EDAB8391909}" name="テーブル2_2" displayName="テーブル2_2" ref="A56:H60" totalsRowShown="0">
  <autoFilter ref="A56:H60" xr:uid="{00000000-0009-0000-0100-000001000000}"/>
  <tableColumns count="8">
    <tableColumn id="1" xr3:uid="{77B54E7B-FF3F-4F7A-BE56-207D05B0A4E3}" name="種別"/>
    <tableColumn id="2" xr3:uid="{D8FE7C5F-3B60-4918-8AD0-99747285BE5C}" name="日時"/>
    <tableColumn id="3" xr3:uid="{686933E6-1634-4D8F-913C-72C1887E91F6}" name="　"/>
    <tableColumn id="4" xr3:uid="{0D4E44FB-15E0-48A3-B841-1416277D91CD}" name="  "/>
    <tableColumn id="5" xr3:uid="{DC0CFE15-169C-44BA-BFA9-DFDC7671EECF}" name="小計"/>
    <tableColumn id="6" xr3:uid="{57D2CD7B-A5CD-467B-8421-1F2C6F9A389A}" name=" "/>
    <tableColumn id="7" xr3:uid="{AA2B87AA-5BAE-4F85-A140-5B09DA9E4F66}" name="税"/>
    <tableColumn id="8" xr3:uid="{39B372F8-65CF-4DC4-9B51-65FCBC0DC020}" name="合計"/>
  </tableColumns>
  <tableStyleInfo name="TableStyleMedium2" showFirstColumn="0" showLastColumn="0" showRowStripes="1" showColumnStripes="0"/>
</table>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bodyPr/>
      <a:lstStyle/>
      <a:style>
        <a:lnRef idx="1">
          <a:schemeClr val="dk1"/>
        </a:lnRef>
        <a:fillRef idx="0">
          <a:schemeClr val="dk1"/>
        </a:fillRef>
        <a:effectRef idx="0">
          <a:schemeClr val="dk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10.bin"/><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hyperlink" Target="mailto:info@sagami-life.com"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70"/>
  <sheetViews>
    <sheetView topLeftCell="A3" zoomScaleNormal="100" workbookViewId="0">
      <selection activeCell="L3" sqref="L3:L50"/>
    </sheetView>
  </sheetViews>
  <sheetFormatPr defaultRowHeight="18"/>
  <cols>
    <col min="1" max="8" width="9.59765625" style="14" customWidth="1"/>
    <col min="9" max="9" width="9.59765625" style="15" customWidth="1"/>
    <col min="11" max="12" width="8.69921875" style="13"/>
  </cols>
  <sheetData>
    <row r="1" spans="1:15" ht="17.55" customHeight="1" thickTop="1">
      <c r="A1" s="74" t="s">
        <v>25</v>
      </c>
      <c r="B1" s="75"/>
      <c r="C1" s="407"/>
      <c r="D1" s="408"/>
      <c r="E1" s="408"/>
      <c r="F1" s="408"/>
      <c r="G1" s="408"/>
      <c r="H1" s="408"/>
      <c r="I1" s="409"/>
      <c r="J1" s="18"/>
      <c r="K1" s="191" t="s">
        <v>56</v>
      </c>
      <c r="O1" s="18"/>
    </row>
    <row r="2" spans="1:15">
      <c r="A2" s="371" t="s">
        <v>26</v>
      </c>
      <c r="B2" s="372"/>
      <c r="C2" s="363"/>
      <c r="D2" s="364"/>
      <c r="E2" s="364"/>
      <c r="F2" s="364"/>
      <c r="G2" s="364"/>
      <c r="H2" s="364" t="s">
        <v>27</v>
      </c>
      <c r="I2" s="410"/>
      <c r="J2" s="18"/>
      <c r="K2" s="191" t="s">
        <v>154</v>
      </c>
      <c r="L2" s="13" t="s">
        <v>155</v>
      </c>
      <c r="O2" s="18"/>
    </row>
    <row r="3" spans="1:15">
      <c r="A3" s="371" t="s">
        <v>21</v>
      </c>
      <c r="B3" s="372"/>
      <c r="C3" s="363"/>
      <c r="D3" s="364"/>
      <c r="E3" s="364"/>
      <c r="F3" s="364"/>
      <c r="G3" s="364"/>
      <c r="H3" s="364"/>
      <c r="I3" s="410"/>
      <c r="J3" s="18"/>
      <c r="K3" s="191" t="s">
        <v>156</v>
      </c>
      <c r="L3" s="192">
        <f>G11</f>
        <v>276</v>
      </c>
      <c r="O3" s="18"/>
    </row>
    <row r="4" spans="1:15" ht="18.600000000000001" thickBot="1">
      <c r="A4" s="361" t="s">
        <v>13</v>
      </c>
      <c r="B4" s="377"/>
      <c r="C4" s="411"/>
      <c r="D4" s="412"/>
      <c r="E4" s="412"/>
      <c r="F4" s="412"/>
      <c r="G4" s="412"/>
      <c r="H4" s="412"/>
      <c r="I4" s="413"/>
      <c r="J4" s="18"/>
      <c r="K4" s="191" t="s">
        <v>181</v>
      </c>
      <c r="L4" s="192">
        <f>G20</f>
        <v>54.1</v>
      </c>
      <c r="O4" s="18"/>
    </row>
    <row r="5" spans="1:15" ht="18.600000000000001" thickBot="1">
      <c r="A5" s="378"/>
      <c r="B5" s="379"/>
      <c r="C5" s="78" t="s">
        <v>33</v>
      </c>
      <c r="D5" s="78" t="s">
        <v>34</v>
      </c>
      <c r="E5" s="78" t="s">
        <v>35</v>
      </c>
      <c r="F5" s="78" t="s">
        <v>36</v>
      </c>
      <c r="G5" s="414" t="s">
        <v>40</v>
      </c>
      <c r="H5" s="414"/>
      <c r="I5" s="79" t="s">
        <v>55</v>
      </c>
      <c r="J5" s="18"/>
      <c r="K5" s="191" t="s">
        <v>182</v>
      </c>
      <c r="L5" s="192">
        <f>G13</f>
        <v>327.59999999999997</v>
      </c>
      <c r="O5" s="18"/>
    </row>
    <row r="6" spans="1:15" s="10" customFormat="1" ht="18.600000000000001" thickTop="1">
      <c r="A6" s="365" t="s">
        <v>74</v>
      </c>
      <c r="B6" s="366"/>
      <c r="C6" s="30"/>
      <c r="D6" s="31"/>
      <c r="E6" s="31"/>
      <c r="F6" s="32"/>
      <c r="G6" s="80">
        <f>IFERROR(AVERAGE(C6:F6),0)+I6</f>
        <v>0</v>
      </c>
      <c r="H6" s="81" t="s">
        <v>38</v>
      </c>
      <c r="I6" s="82"/>
      <c r="J6" s="20"/>
      <c r="K6" s="193" t="s">
        <v>183</v>
      </c>
      <c r="L6" s="194">
        <f>G36</f>
        <v>0</v>
      </c>
      <c r="O6" s="20"/>
    </row>
    <row r="7" spans="1:15" s="10" customFormat="1">
      <c r="A7" s="365" t="s">
        <v>32</v>
      </c>
      <c r="B7" s="366"/>
      <c r="C7" s="33">
        <v>10</v>
      </c>
      <c r="D7" s="19">
        <v>12</v>
      </c>
      <c r="E7" s="19">
        <v>12</v>
      </c>
      <c r="F7" s="34">
        <v>12</v>
      </c>
      <c r="G7" s="84">
        <f>SUM(C7:F7)+I7</f>
        <v>46</v>
      </c>
      <c r="H7" s="83" t="s">
        <v>37</v>
      </c>
      <c r="I7" s="85"/>
      <c r="J7" s="20"/>
      <c r="K7" s="193" t="s">
        <v>184</v>
      </c>
      <c r="L7" s="194">
        <f>G22</f>
        <v>330.06551802916209</v>
      </c>
      <c r="O7" s="20"/>
    </row>
    <row r="8" spans="1:15" s="10" customFormat="1" ht="18.600000000000001" thickBot="1">
      <c r="A8" s="365" t="s">
        <v>22</v>
      </c>
      <c r="B8" s="366"/>
      <c r="C8" s="35">
        <v>6</v>
      </c>
      <c r="D8" s="36">
        <v>6</v>
      </c>
      <c r="E8" s="36">
        <v>6</v>
      </c>
      <c r="F8" s="37">
        <v>6</v>
      </c>
      <c r="G8" s="86">
        <f>IFERROR(AVERAGE(C8:F8),0)+I8</f>
        <v>6</v>
      </c>
      <c r="H8" s="83" t="s">
        <v>38</v>
      </c>
      <c r="I8" s="85"/>
      <c r="J8" s="20"/>
      <c r="K8" s="193" t="s">
        <v>157</v>
      </c>
      <c r="L8" s="194">
        <f>G24</f>
        <v>0</v>
      </c>
      <c r="O8" s="20"/>
    </row>
    <row r="9" spans="1:15" s="9" customFormat="1" ht="19.2" thickTop="1" thickBot="1">
      <c r="A9" s="369" t="s">
        <v>41</v>
      </c>
      <c r="B9" s="370"/>
      <c r="C9" s="87">
        <f>SUM(C7*C8)</f>
        <v>60</v>
      </c>
      <c r="D9" s="88">
        <f>SUM(D7*D8)</f>
        <v>72</v>
      </c>
      <c r="E9" s="88">
        <f>SUM(E7*E8)</f>
        <v>72</v>
      </c>
      <c r="F9" s="88">
        <f>SUM(F7*F8)</f>
        <v>72</v>
      </c>
      <c r="G9" s="89">
        <f>SUM(C9:F9)+I9</f>
        <v>276</v>
      </c>
      <c r="H9" s="90" t="s">
        <v>42</v>
      </c>
      <c r="I9" s="91"/>
      <c r="J9" s="21"/>
      <c r="K9" s="195" t="s">
        <v>158</v>
      </c>
      <c r="L9" s="196">
        <f>G25</f>
        <v>0</v>
      </c>
      <c r="O9" s="21"/>
    </row>
    <row r="10" spans="1:15" ht="19.2" thickTop="1" thickBot="1">
      <c r="A10" s="371" t="s">
        <v>44</v>
      </c>
      <c r="B10" s="372"/>
      <c r="C10" s="38"/>
      <c r="D10" s="39"/>
      <c r="E10" s="39"/>
      <c r="F10" s="40"/>
      <c r="G10" s="92">
        <f>IFERROR(AVERAGE(C10:F10),0)+I10</f>
        <v>0</v>
      </c>
      <c r="H10" s="14" t="s">
        <v>39</v>
      </c>
      <c r="I10" s="93"/>
      <c r="J10" s="18"/>
      <c r="K10" s="191" t="s">
        <v>159</v>
      </c>
      <c r="L10" s="194">
        <f>G26+G27+G28</f>
        <v>0</v>
      </c>
      <c r="O10" s="18"/>
    </row>
    <row r="11" spans="1:15" s="11" customFormat="1" ht="30.45" customHeight="1" thickTop="1" thickBot="1">
      <c r="A11" s="373" t="s">
        <v>45</v>
      </c>
      <c r="B11" s="374"/>
      <c r="C11" s="94">
        <f>ROUND(C7*C8*(1-C10),1)</f>
        <v>60</v>
      </c>
      <c r="D11" s="95">
        <f>ROUND(D7*D8*(1-D10),1)</f>
        <v>72</v>
      </c>
      <c r="E11" s="95">
        <f>ROUND(E7*E8*(1-E10),1)</f>
        <v>72</v>
      </c>
      <c r="F11" s="95">
        <f>ROUND(F7*F8*(1-F10),1)</f>
        <v>72</v>
      </c>
      <c r="G11" s="96">
        <f>SUM(C11:F11)</f>
        <v>276</v>
      </c>
      <c r="H11" s="97" t="s">
        <v>42</v>
      </c>
      <c r="I11" s="98"/>
      <c r="J11" s="23"/>
      <c r="K11" s="197" t="s">
        <v>189</v>
      </c>
      <c r="L11" s="198">
        <f>G29</f>
        <v>0</v>
      </c>
      <c r="O11" s="23"/>
    </row>
    <row r="12" spans="1:15" s="13" customFormat="1" ht="19.2" thickTop="1" thickBot="1">
      <c r="A12" s="375" t="s">
        <v>71</v>
      </c>
      <c r="B12" s="376"/>
      <c r="C12" s="41"/>
      <c r="D12" s="42"/>
      <c r="E12" s="42"/>
      <c r="F12" s="43"/>
      <c r="G12" s="99">
        <f>IFERROR(AVERAGE(C12:F12),0)+I12</f>
        <v>0</v>
      </c>
      <c r="H12" s="15" t="s">
        <v>37</v>
      </c>
      <c r="I12" s="93"/>
      <c r="J12" s="24"/>
      <c r="K12" s="191" t="s">
        <v>185</v>
      </c>
      <c r="L12" s="194">
        <f>G30</f>
        <v>0</v>
      </c>
      <c r="O12" s="24"/>
    </row>
    <row r="13" spans="1:15" s="8" customFormat="1" ht="18.600000000000001" thickTop="1">
      <c r="A13" s="380" t="s">
        <v>70</v>
      </c>
      <c r="B13" s="381"/>
      <c r="C13" s="100">
        <f>IF(SUM(E12,F12,C7)=0,"",(SUM(E12,F12,C7)+0.2)*(C8+1))</f>
        <v>71.399999999999991</v>
      </c>
      <c r="D13" s="101">
        <f>IF(SUM(E12,F12,D7)=0,"",(SUM(E12,F12,D7)+0.2)*(D8+1))</f>
        <v>85.399999999999991</v>
      </c>
      <c r="E13" s="101">
        <f>IF(SUM(C12,D12,E7)=0,"",(SUM(C12,D12,E7)+0.2)*(E8+1))</f>
        <v>85.399999999999991</v>
      </c>
      <c r="F13" s="101">
        <f>IF(SUM(D12,C12,F7)=0,"",(SUM(D12,C12,F7)+0.2)*(F8+1))</f>
        <v>85.399999999999991</v>
      </c>
      <c r="G13" s="96">
        <f>SUM(C13:F13)+I13</f>
        <v>327.59999999999997</v>
      </c>
      <c r="H13" s="102" t="s">
        <v>42</v>
      </c>
      <c r="I13" s="103"/>
      <c r="J13" s="25"/>
      <c r="K13" s="191" t="s">
        <v>188</v>
      </c>
      <c r="L13" s="194">
        <f>G32</f>
        <v>0</v>
      </c>
      <c r="O13" s="25"/>
    </row>
    <row r="14" spans="1:15" ht="18.600000000000001" thickBot="1">
      <c r="A14" s="387" t="s">
        <v>78</v>
      </c>
      <c r="B14" s="388"/>
      <c r="C14" s="104"/>
      <c r="D14" s="105"/>
      <c r="E14" s="105"/>
      <c r="F14" s="105"/>
      <c r="G14" s="105"/>
      <c r="H14" s="105"/>
      <c r="I14" s="106"/>
      <c r="J14" s="18"/>
      <c r="K14" s="191" t="s">
        <v>160</v>
      </c>
      <c r="L14" s="194">
        <f>G33</f>
        <v>0</v>
      </c>
      <c r="O14" s="18"/>
    </row>
    <row r="15" spans="1:15" s="12" customFormat="1" ht="18.600000000000001" thickTop="1">
      <c r="A15" s="382" t="s">
        <v>46</v>
      </c>
      <c r="B15" s="383"/>
      <c r="C15" s="44">
        <v>7</v>
      </c>
      <c r="D15" s="45">
        <v>7</v>
      </c>
      <c r="E15" s="45">
        <v>7</v>
      </c>
      <c r="F15" s="46">
        <v>7</v>
      </c>
      <c r="G15" s="107">
        <f>SUM(C15:F15)+I15</f>
        <v>28</v>
      </c>
      <c r="H15" s="108" t="s">
        <v>37</v>
      </c>
      <c r="I15" s="109"/>
      <c r="J15" s="26"/>
      <c r="K15" s="197" t="s">
        <v>161</v>
      </c>
      <c r="L15" s="194">
        <f>G34</f>
        <v>28</v>
      </c>
      <c r="O15" s="26"/>
    </row>
    <row r="16" spans="1:15" s="12" customFormat="1" ht="18.600000000000001" thickBot="1">
      <c r="A16" s="384" t="s">
        <v>48</v>
      </c>
      <c r="B16" s="385"/>
      <c r="C16" s="47">
        <v>25</v>
      </c>
      <c r="D16" s="48">
        <v>25</v>
      </c>
      <c r="E16" s="48">
        <v>25</v>
      </c>
      <c r="F16" s="49">
        <v>25</v>
      </c>
      <c r="G16" s="110">
        <f>IFERROR(AVERAGE(C16:F16),"")</f>
        <v>25</v>
      </c>
      <c r="H16" s="111" t="s">
        <v>51</v>
      </c>
      <c r="I16" s="112"/>
      <c r="J16" s="26"/>
      <c r="K16" s="197" t="s">
        <v>162</v>
      </c>
      <c r="L16" s="194">
        <f>G35</f>
        <v>0</v>
      </c>
      <c r="O16" s="26"/>
    </row>
    <row r="17" spans="1:15" s="12" customFormat="1" ht="18.600000000000001" thickTop="1">
      <c r="A17" s="384" t="s">
        <v>49</v>
      </c>
      <c r="B17" s="386"/>
      <c r="C17" s="113">
        <f>10*TAN(RADIANS(C16))</f>
        <v>4.6630765815499862</v>
      </c>
      <c r="D17" s="113">
        <f>10*TAN(RADIANS(D16))</f>
        <v>4.6630765815499862</v>
      </c>
      <c r="E17" s="113">
        <f>10*TAN(RADIANS(E16))</f>
        <v>4.6630765815499862</v>
      </c>
      <c r="F17" s="113">
        <f>10*TAN(RADIANS(F16))</f>
        <v>4.6630765815499862</v>
      </c>
      <c r="G17" s="114">
        <f>IFERROR(AVERAGE(C17:F17),"")</f>
        <v>4.6630765815499862</v>
      </c>
      <c r="H17" s="111" t="s">
        <v>50</v>
      </c>
      <c r="I17" s="112"/>
      <c r="J17" s="26"/>
      <c r="K17" s="198" t="s">
        <v>190</v>
      </c>
      <c r="L17" s="198">
        <f>G20</f>
        <v>54.1</v>
      </c>
      <c r="O17" s="26"/>
    </row>
    <row r="18" spans="1:15" s="12" customFormat="1" ht="18.600000000000001" thickBot="1">
      <c r="A18" s="384" t="s">
        <v>23</v>
      </c>
      <c r="B18" s="386"/>
      <c r="C18" s="115" t="s">
        <v>52</v>
      </c>
      <c r="D18" s="115" t="s">
        <v>52</v>
      </c>
      <c r="E18" s="115" t="s">
        <v>52</v>
      </c>
      <c r="F18" s="115" t="s">
        <v>52</v>
      </c>
      <c r="G18" s="89">
        <f xml:space="preserve"> (C15 * E15) * SQRT(1 + (G17/10)^2)+I18</f>
        <v>54.065518029162092</v>
      </c>
      <c r="H18" s="111" t="s">
        <v>42</v>
      </c>
      <c r="I18" s="112"/>
      <c r="J18" s="26"/>
      <c r="K18" s="198"/>
      <c r="L18" s="198"/>
      <c r="O18" s="26"/>
    </row>
    <row r="19" spans="1:15" ht="19.2" thickTop="1" thickBot="1">
      <c r="A19" s="393" t="s">
        <v>44</v>
      </c>
      <c r="B19" s="394"/>
      <c r="C19" s="50">
        <v>0</v>
      </c>
      <c r="D19" s="51">
        <v>0</v>
      </c>
      <c r="E19" s="51">
        <v>0</v>
      </c>
      <c r="F19" s="52">
        <v>0</v>
      </c>
      <c r="G19" s="92">
        <f>IFERROR(AVERAGE(C19:F19),0)+I19</f>
        <v>0</v>
      </c>
      <c r="H19" s="14" t="s">
        <v>39</v>
      </c>
      <c r="I19" s="93"/>
      <c r="J19" s="18"/>
      <c r="K19" s="24"/>
      <c r="L19" s="24"/>
      <c r="O19" s="18"/>
    </row>
    <row r="20" spans="1:15" s="8" customFormat="1" ht="30.45" customHeight="1" thickTop="1">
      <c r="A20" s="395" t="s">
        <v>47</v>
      </c>
      <c r="B20" s="396"/>
      <c r="C20" s="116" t="s">
        <v>52</v>
      </c>
      <c r="D20" s="116" t="s">
        <v>52</v>
      </c>
      <c r="E20" s="116" t="s">
        <v>52</v>
      </c>
      <c r="F20" s="116" t="s">
        <v>52</v>
      </c>
      <c r="G20" s="117">
        <f>IFERROR(ROUND(G18*(1-G19),1)+I20,"")</f>
        <v>54.1</v>
      </c>
      <c r="H20" s="118" t="s">
        <v>42</v>
      </c>
      <c r="I20" s="119"/>
      <c r="J20" s="25"/>
      <c r="K20" s="24"/>
      <c r="L20" s="24"/>
      <c r="O20" s="25"/>
    </row>
    <row r="21" spans="1:15" ht="18.600000000000001" thickBot="1">
      <c r="A21" s="367" t="s">
        <v>78</v>
      </c>
      <c r="B21" s="368"/>
      <c r="C21" s="120"/>
      <c r="D21" s="120"/>
      <c r="E21" s="120"/>
      <c r="F21" s="120"/>
      <c r="G21" s="120"/>
      <c r="H21" s="120"/>
      <c r="I21" s="121"/>
      <c r="J21" s="18"/>
      <c r="K21" s="24"/>
      <c r="L21" s="24"/>
      <c r="O21" s="18"/>
    </row>
    <row r="22" spans="1:15" ht="18" customHeight="1">
      <c r="A22" s="397" t="s">
        <v>43</v>
      </c>
      <c r="B22" s="398"/>
      <c r="C22" s="122" t="s">
        <v>52</v>
      </c>
      <c r="D22" s="122" t="s">
        <v>52</v>
      </c>
      <c r="E22" s="122" t="s">
        <v>52</v>
      </c>
      <c r="F22" s="122" t="s">
        <v>52</v>
      </c>
      <c r="G22" s="123">
        <f>SUM(G9+G18)</f>
        <v>330.06551802916209</v>
      </c>
      <c r="H22" s="124" t="s">
        <v>42</v>
      </c>
      <c r="I22" s="125"/>
      <c r="J22" s="18"/>
      <c r="K22" s="24"/>
      <c r="L22" s="24"/>
      <c r="O22" s="18"/>
    </row>
    <row r="23" spans="1:15" ht="34.950000000000003" customHeight="1" thickBot="1">
      <c r="A23" s="399" t="s">
        <v>53</v>
      </c>
      <c r="B23" s="400"/>
      <c r="C23" s="126" t="s">
        <v>52</v>
      </c>
      <c r="D23" s="126" t="s">
        <v>52</v>
      </c>
      <c r="E23" s="126" t="s">
        <v>52</v>
      </c>
      <c r="F23" s="126" t="s">
        <v>52</v>
      </c>
      <c r="G23" s="127">
        <f>IFERROR(SUM(G11+G20),0)</f>
        <v>330.1</v>
      </c>
      <c r="H23" s="128" t="s">
        <v>42</v>
      </c>
      <c r="I23" s="129"/>
      <c r="J23" s="18"/>
      <c r="K23" s="24"/>
      <c r="L23" s="24"/>
      <c r="O23" s="18"/>
    </row>
    <row r="24" spans="1:15" ht="18.600000000000001" thickTop="1">
      <c r="A24" s="401" t="s">
        <v>62</v>
      </c>
      <c r="B24" s="402"/>
      <c r="C24" s="75" t="s">
        <v>59</v>
      </c>
      <c r="D24" s="53"/>
      <c r="E24" s="130" t="s">
        <v>153</v>
      </c>
      <c r="F24" s="55"/>
      <c r="G24" s="107">
        <f>SUM(D24*G8)+I24</f>
        <v>0</v>
      </c>
      <c r="H24" s="131" t="s">
        <v>37</v>
      </c>
      <c r="I24" s="132"/>
      <c r="J24" s="18"/>
      <c r="K24" s="24"/>
      <c r="L24" s="24"/>
      <c r="O24" s="18"/>
    </row>
    <row r="25" spans="1:15">
      <c r="A25" s="389" t="s">
        <v>63</v>
      </c>
      <c r="B25" s="390"/>
      <c r="C25" s="133" t="s">
        <v>59</v>
      </c>
      <c r="D25" s="54"/>
      <c r="E25" s="134" t="s">
        <v>153</v>
      </c>
      <c r="F25" s="56"/>
      <c r="G25" s="135">
        <f>SUM(D25*G7)+I25</f>
        <v>0</v>
      </c>
      <c r="H25" s="15" t="s">
        <v>37</v>
      </c>
      <c r="I25" s="93"/>
      <c r="J25" s="18"/>
      <c r="K25" s="24"/>
      <c r="L25" s="24"/>
      <c r="O25" s="18"/>
    </row>
    <row r="26" spans="1:15">
      <c r="A26" s="389" t="s">
        <v>64</v>
      </c>
      <c r="B26" s="390"/>
      <c r="C26" s="133" t="s">
        <v>152</v>
      </c>
      <c r="D26" s="54"/>
      <c r="E26" s="134" t="s">
        <v>56</v>
      </c>
      <c r="F26" s="54"/>
      <c r="G26" s="135">
        <f>SUM(D26*F26)+I26</f>
        <v>0</v>
      </c>
      <c r="H26" s="15" t="s">
        <v>37</v>
      </c>
      <c r="I26" s="93"/>
      <c r="J26" s="18"/>
      <c r="K26" s="24"/>
      <c r="L26" s="24"/>
      <c r="O26" s="18"/>
    </row>
    <row r="27" spans="1:15">
      <c r="A27" s="389" t="s">
        <v>65</v>
      </c>
      <c r="B27" s="390"/>
      <c r="C27" s="133" t="s">
        <v>152</v>
      </c>
      <c r="D27" s="54"/>
      <c r="E27" s="134" t="s">
        <v>56</v>
      </c>
      <c r="F27" s="54"/>
      <c r="G27" s="135">
        <f t="shared" ref="G27" si="0">SUM(D27*F27)+I27</f>
        <v>0</v>
      </c>
      <c r="H27" s="15" t="s">
        <v>37</v>
      </c>
      <c r="I27" s="93"/>
      <c r="J27" s="18"/>
      <c r="K27" s="24"/>
      <c r="L27" s="24"/>
      <c r="O27" s="18"/>
    </row>
    <row r="28" spans="1:15">
      <c r="A28" s="389" t="s">
        <v>66</v>
      </c>
      <c r="B28" s="390"/>
      <c r="C28" s="133" t="s">
        <v>152</v>
      </c>
      <c r="D28" s="54"/>
      <c r="E28" s="134" t="s">
        <v>56</v>
      </c>
      <c r="F28" s="54"/>
      <c r="G28" s="135">
        <f>SUM(D28*F28)+I28</f>
        <v>0</v>
      </c>
      <c r="H28" s="15" t="s">
        <v>37</v>
      </c>
      <c r="I28" s="93"/>
      <c r="J28" s="18"/>
      <c r="K28" s="24"/>
      <c r="L28" s="24"/>
      <c r="O28" s="18"/>
    </row>
    <row r="29" spans="1:15" ht="18.600000000000001" thickBot="1">
      <c r="A29" s="391" t="s">
        <v>69</v>
      </c>
      <c r="B29" s="392"/>
      <c r="C29" s="136" t="s">
        <v>67</v>
      </c>
      <c r="D29" s="54"/>
      <c r="E29" s="137" t="s">
        <v>68</v>
      </c>
      <c r="F29" s="54"/>
      <c r="G29" s="135">
        <f>SUM(D29*F29)+I29</f>
        <v>0</v>
      </c>
      <c r="H29" s="15" t="s">
        <v>37</v>
      </c>
      <c r="I29" s="93"/>
      <c r="J29" s="18"/>
      <c r="K29" s="24"/>
      <c r="L29" s="24"/>
      <c r="O29" s="18"/>
    </row>
    <row r="30" spans="1:15" ht="19.2" thickTop="1" thickBot="1">
      <c r="A30" s="361" t="s">
        <v>75</v>
      </c>
      <c r="B30" s="362"/>
      <c r="C30" s="58" t="b">
        <v>0</v>
      </c>
      <c r="D30" s="71" t="b">
        <v>0</v>
      </c>
      <c r="E30" s="57" t="b">
        <v>0</v>
      </c>
      <c r="F30" s="72" t="b">
        <v>0</v>
      </c>
      <c r="G30" s="138">
        <f>IF(C30, C7*C6, 0)+IF(D30, D7*D6, 0)+IF(E30, E7*E6, 0)+IF(F30, F7*F6, 0)+I30</f>
        <v>0</v>
      </c>
      <c r="H30" s="139" t="s">
        <v>42</v>
      </c>
      <c r="I30" s="121"/>
      <c r="J30" s="18"/>
      <c r="K30" s="24"/>
      <c r="L30" s="24"/>
      <c r="O30" s="18"/>
    </row>
    <row r="31" spans="1:15" ht="18.600000000000001" thickBot="1">
      <c r="A31" s="416"/>
      <c r="B31" s="417"/>
      <c r="C31" s="403" t="s">
        <v>80</v>
      </c>
      <c r="D31" s="404"/>
      <c r="E31" s="404"/>
      <c r="F31" s="404"/>
      <c r="G31" s="405"/>
      <c r="H31" s="406"/>
      <c r="I31" s="132" t="s">
        <v>55</v>
      </c>
      <c r="J31" s="18"/>
      <c r="K31" s="24"/>
      <c r="L31" s="24"/>
      <c r="O31" s="18"/>
    </row>
    <row r="32" spans="1:15" ht="19.2" thickTop="1" thickBot="1">
      <c r="A32" s="393" t="s">
        <v>58</v>
      </c>
      <c r="B32" s="418"/>
      <c r="C32" s="68" t="b">
        <v>0</v>
      </c>
      <c r="D32" s="63" t="b">
        <v>0</v>
      </c>
      <c r="E32" s="63" t="b">
        <v>0</v>
      </c>
      <c r="F32" s="65" t="b">
        <v>0</v>
      </c>
      <c r="G32" s="84" cm="1">
        <f t="array" ref="G32">SUMPRODUCT(C15:F15 * --(C32:F32))+I32</f>
        <v>0</v>
      </c>
      <c r="H32" s="14" t="s">
        <v>37</v>
      </c>
      <c r="I32" s="93"/>
      <c r="J32" s="18"/>
      <c r="K32" s="24"/>
      <c r="L32" s="24"/>
      <c r="O32" s="18"/>
    </row>
    <row r="33" spans="1:17" ht="19.2" thickTop="1" thickBot="1">
      <c r="A33" s="419" t="s">
        <v>60</v>
      </c>
      <c r="B33" s="420"/>
      <c r="C33" s="140" t="s">
        <v>59</v>
      </c>
      <c r="D33" s="73"/>
      <c r="E33" s="141" t="s">
        <v>57</v>
      </c>
      <c r="F33" s="142"/>
      <c r="G33" s="84">
        <f>SUM(D33*G8)+I33</f>
        <v>0</v>
      </c>
      <c r="H33" s="14" t="s">
        <v>37</v>
      </c>
      <c r="I33" s="93"/>
      <c r="J33" s="18"/>
      <c r="K33" s="24"/>
      <c r="L33" s="24"/>
      <c r="O33" s="18"/>
    </row>
    <row r="34" spans="1:17" ht="18.600000000000001" thickTop="1">
      <c r="A34" s="371" t="s">
        <v>61</v>
      </c>
      <c r="B34" s="415"/>
      <c r="C34" s="69" t="b">
        <v>0</v>
      </c>
      <c r="D34" s="64" t="b">
        <v>0</v>
      </c>
      <c r="E34" s="64" t="b">
        <v>0</v>
      </c>
      <c r="F34" s="66" t="b">
        <v>0</v>
      </c>
      <c r="G34" s="84">
        <f>G15+I34+J34+K34+L34+O34</f>
        <v>28</v>
      </c>
      <c r="H34" s="14" t="s">
        <v>37</v>
      </c>
      <c r="I34" s="93"/>
      <c r="J34" s="17">
        <f>IF(C34,C15 * ( ( (SQRT(1+(E17/10)^2) + SQRT(1+(F17/10)^2)) / 2 ) - 1 ),
  0
)</f>
        <v>0</v>
      </c>
      <c r="K34" s="185" t="b">
        <f>IF(D34,D15*(((SQRT(1+(E17/10)^2)+SQRT(1+(F17/10)^2))/2)-1))</f>
        <v>0</v>
      </c>
      <c r="L34" s="185" t="b">
        <f>IF(E34,E15*(((SQRT(1+(C15/10)^2)+SQRT(1+(D15/10)^2))/2)-1))</f>
        <v>0</v>
      </c>
      <c r="O34" s="17" t="b">
        <f>IF(F34,F15*(((SQRT(1+(C15/10)^2)+SQRT(1+(D15/10)^2))/2)-1))</f>
        <v>0</v>
      </c>
      <c r="P34" s="17"/>
      <c r="Q34" s="17"/>
    </row>
    <row r="35" spans="1:17">
      <c r="A35" s="371" t="s">
        <v>82</v>
      </c>
      <c r="B35" s="415"/>
      <c r="C35" s="28" t="b">
        <v>0</v>
      </c>
      <c r="D35" s="27" t="b">
        <v>0</v>
      </c>
      <c r="E35" s="27" t="b">
        <v>0</v>
      </c>
      <c r="F35" s="59" t="b">
        <v>0</v>
      </c>
      <c r="G35" s="84" cm="1">
        <f t="array" ref="G35">SUMPRODUCT(C7:F7 * --(C35:F35))+I35</f>
        <v>0</v>
      </c>
      <c r="H35" s="14" t="s">
        <v>37</v>
      </c>
      <c r="I35" s="93"/>
      <c r="J35" s="18"/>
      <c r="K35" s="24"/>
      <c r="L35" s="24"/>
      <c r="O35" s="18"/>
    </row>
    <row r="36" spans="1:17" ht="18.600000000000001" thickBot="1">
      <c r="A36" s="361" t="s">
        <v>89</v>
      </c>
      <c r="B36" s="362"/>
      <c r="C36" s="62" t="b">
        <v>0</v>
      </c>
      <c r="D36" s="60" t="b">
        <v>0</v>
      </c>
      <c r="E36" s="60" t="b">
        <v>0</v>
      </c>
      <c r="F36" s="61" t="b">
        <v>0</v>
      </c>
      <c r="G36" s="138">
        <f>IF(C36, C7*C12, 0)+IF(D36, D7*D12, 0)+IF(E36, E7*E12, 0)+IF(F36, F7*F12, 0)+I36</f>
        <v>0</v>
      </c>
      <c r="H36" s="139" t="s">
        <v>42</v>
      </c>
      <c r="I36" s="143"/>
      <c r="J36" s="18"/>
      <c r="K36" s="24"/>
      <c r="L36" s="24"/>
      <c r="O36" s="18"/>
    </row>
    <row r="37" spans="1:17">
      <c r="A37"/>
      <c r="B37"/>
      <c r="C37"/>
      <c r="D37"/>
      <c r="E37"/>
      <c r="F37"/>
      <c r="G37"/>
      <c r="H37"/>
      <c r="I37" s="13"/>
    </row>
    <row r="38" spans="1:17">
      <c r="A38"/>
      <c r="B38"/>
      <c r="C38"/>
      <c r="D38"/>
      <c r="E38"/>
      <c r="F38"/>
      <c r="G38"/>
      <c r="H38"/>
      <c r="I38" s="13"/>
    </row>
    <row r="39" spans="1:17">
      <c r="A39"/>
      <c r="B39"/>
      <c r="C39"/>
      <c r="D39"/>
      <c r="E39"/>
      <c r="F39"/>
      <c r="G39"/>
      <c r="H39"/>
      <c r="I39" s="13"/>
    </row>
    <row r="40" spans="1:17">
      <c r="A40"/>
      <c r="B40"/>
      <c r="C40"/>
      <c r="D40"/>
      <c r="E40"/>
      <c r="F40"/>
      <c r="G40"/>
      <c r="H40"/>
      <c r="I40" s="13"/>
    </row>
    <row r="41" spans="1:17">
      <c r="A41"/>
      <c r="B41"/>
      <c r="C41"/>
      <c r="D41"/>
      <c r="E41"/>
      <c r="F41"/>
      <c r="G41"/>
      <c r="H41"/>
      <c r="I41" s="13"/>
    </row>
    <row r="42" spans="1:17">
      <c r="A42"/>
      <c r="B42"/>
      <c r="C42"/>
      <c r="D42"/>
      <c r="E42"/>
      <c r="F42"/>
      <c r="G42"/>
      <c r="H42"/>
      <c r="I42" s="13"/>
    </row>
    <row r="43" spans="1:17">
      <c r="A43"/>
      <c r="B43"/>
      <c r="C43"/>
      <c r="D43"/>
      <c r="E43"/>
      <c r="F43"/>
      <c r="G43"/>
      <c r="H43"/>
      <c r="I43" s="13"/>
    </row>
    <row r="44" spans="1:17">
      <c r="A44"/>
      <c r="B44"/>
      <c r="C44"/>
      <c r="D44"/>
      <c r="E44"/>
      <c r="F44"/>
      <c r="G44"/>
      <c r="H44"/>
      <c r="I44" s="13"/>
    </row>
    <row r="45" spans="1:17">
      <c r="A45"/>
      <c r="B45"/>
      <c r="C45"/>
      <c r="D45"/>
      <c r="E45"/>
      <c r="F45"/>
      <c r="G45"/>
      <c r="H45"/>
      <c r="I45" s="13"/>
    </row>
    <row r="46" spans="1:17">
      <c r="A46"/>
      <c r="B46"/>
      <c r="C46"/>
      <c r="D46"/>
      <c r="E46"/>
      <c r="F46"/>
      <c r="G46"/>
      <c r="H46"/>
      <c r="I46" s="13"/>
    </row>
    <row r="47" spans="1:17">
      <c r="A47"/>
      <c r="B47"/>
      <c r="C47"/>
      <c r="D47"/>
      <c r="E47"/>
      <c r="F47"/>
      <c r="G47"/>
      <c r="H47"/>
      <c r="I47" s="13"/>
    </row>
    <row r="48" spans="1:17">
      <c r="A48"/>
      <c r="B48"/>
      <c r="C48"/>
      <c r="D48"/>
      <c r="E48"/>
      <c r="F48"/>
      <c r="G48"/>
      <c r="H48"/>
      <c r="I48" s="13"/>
    </row>
    <row r="49" spans="1:9">
      <c r="A49"/>
      <c r="B49"/>
      <c r="C49"/>
      <c r="D49"/>
      <c r="E49"/>
      <c r="F49"/>
      <c r="G49"/>
      <c r="H49"/>
      <c r="I49" s="13"/>
    </row>
    <row r="50" spans="1:9">
      <c r="A50"/>
      <c r="B50"/>
      <c r="C50"/>
      <c r="D50"/>
      <c r="E50"/>
      <c r="F50"/>
      <c r="G50"/>
      <c r="H50"/>
      <c r="I50" s="13"/>
    </row>
    <row r="51" spans="1:9">
      <c r="A51"/>
      <c r="B51"/>
      <c r="C51"/>
      <c r="D51"/>
      <c r="E51"/>
      <c r="F51"/>
      <c r="G51"/>
      <c r="H51"/>
      <c r="I51" s="13"/>
    </row>
    <row r="52" spans="1:9">
      <c r="A52"/>
      <c r="B52"/>
      <c r="C52"/>
      <c r="D52"/>
      <c r="E52"/>
      <c r="F52"/>
      <c r="G52"/>
      <c r="H52"/>
      <c r="I52" s="13"/>
    </row>
    <row r="53" spans="1:9">
      <c r="A53"/>
      <c r="B53"/>
      <c r="C53"/>
      <c r="D53"/>
      <c r="E53"/>
      <c r="F53"/>
      <c r="G53"/>
      <c r="H53"/>
      <c r="I53" s="13"/>
    </row>
    <row r="54" spans="1:9">
      <c r="A54"/>
      <c r="B54"/>
      <c r="C54"/>
      <c r="D54"/>
      <c r="E54"/>
      <c r="F54"/>
      <c r="G54"/>
      <c r="H54"/>
      <c r="I54" s="13"/>
    </row>
    <row r="55" spans="1:9">
      <c r="A55"/>
      <c r="B55"/>
      <c r="C55"/>
      <c r="D55"/>
      <c r="E55"/>
      <c r="F55"/>
      <c r="G55"/>
      <c r="H55"/>
      <c r="I55" s="13"/>
    </row>
    <row r="56" spans="1:9">
      <c r="A56"/>
      <c r="B56"/>
      <c r="C56"/>
      <c r="D56"/>
      <c r="E56"/>
      <c r="F56"/>
      <c r="G56"/>
      <c r="H56"/>
      <c r="I56" s="13"/>
    </row>
    <row r="57" spans="1:9">
      <c r="A57"/>
      <c r="B57"/>
      <c r="C57"/>
      <c r="D57"/>
      <c r="E57"/>
      <c r="F57"/>
      <c r="G57"/>
      <c r="H57"/>
      <c r="I57" s="13"/>
    </row>
    <row r="58" spans="1:9">
      <c r="A58"/>
      <c r="B58"/>
      <c r="C58"/>
      <c r="D58"/>
      <c r="E58"/>
      <c r="F58"/>
      <c r="G58"/>
      <c r="H58"/>
      <c r="I58" s="13"/>
    </row>
    <row r="59" spans="1:9">
      <c r="A59"/>
      <c r="B59"/>
      <c r="C59"/>
      <c r="D59"/>
      <c r="E59"/>
      <c r="F59"/>
      <c r="G59"/>
      <c r="H59"/>
      <c r="I59" s="13"/>
    </row>
    <row r="60" spans="1:9">
      <c r="A60"/>
      <c r="B60"/>
      <c r="C60"/>
      <c r="D60"/>
      <c r="E60"/>
      <c r="F60"/>
      <c r="G60"/>
      <c r="H60"/>
      <c r="I60" s="13"/>
    </row>
    <row r="61" spans="1:9">
      <c r="A61"/>
      <c r="B61"/>
      <c r="C61"/>
      <c r="D61"/>
      <c r="E61"/>
      <c r="F61"/>
      <c r="G61"/>
      <c r="H61"/>
      <c r="I61" s="13"/>
    </row>
    <row r="62" spans="1:9">
      <c r="A62"/>
      <c r="B62"/>
      <c r="C62"/>
      <c r="D62"/>
      <c r="E62"/>
      <c r="F62"/>
      <c r="G62"/>
      <c r="H62"/>
      <c r="I62" s="13"/>
    </row>
    <row r="63" spans="1:9">
      <c r="A63"/>
      <c r="B63"/>
      <c r="C63"/>
      <c r="D63"/>
      <c r="E63"/>
      <c r="F63"/>
      <c r="G63"/>
      <c r="H63"/>
      <c r="I63" s="13"/>
    </row>
    <row r="64" spans="1:9">
      <c r="A64"/>
      <c r="B64"/>
      <c r="C64"/>
      <c r="D64"/>
      <c r="E64"/>
      <c r="F64"/>
      <c r="G64"/>
      <c r="H64"/>
      <c r="I64" s="13"/>
    </row>
    <row r="65" spans="1:9">
      <c r="A65"/>
      <c r="B65"/>
      <c r="C65"/>
      <c r="D65"/>
      <c r="E65"/>
      <c r="F65"/>
      <c r="G65"/>
      <c r="H65"/>
      <c r="I65" s="13"/>
    </row>
    <row r="66" spans="1:9">
      <c r="A66"/>
      <c r="B66"/>
      <c r="C66"/>
      <c r="D66"/>
      <c r="E66"/>
      <c r="F66"/>
      <c r="G66"/>
      <c r="H66"/>
      <c r="I66" s="13"/>
    </row>
    <row r="67" spans="1:9">
      <c r="A67"/>
      <c r="B67"/>
      <c r="C67"/>
      <c r="D67"/>
      <c r="E67"/>
      <c r="F67"/>
      <c r="G67"/>
      <c r="H67"/>
      <c r="I67" s="13"/>
    </row>
    <row r="68" spans="1:9">
      <c r="A68"/>
      <c r="B68"/>
      <c r="C68"/>
      <c r="D68"/>
      <c r="E68"/>
      <c r="F68"/>
      <c r="G68"/>
      <c r="H68"/>
      <c r="I68" s="13"/>
    </row>
    <row r="69" spans="1:9">
      <c r="A69"/>
      <c r="B69"/>
      <c r="C69"/>
      <c r="D69"/>
      <c r="E69"/>
      <c r="F69"/>
      <c r="G69"/>
      <c r="H69"/>
      <c r="I69" s="13"/>
    </row>
    <row r="70" spans="1:9">
      <c r="A70"/>
      <c r="B70"/>
      <c r="C70"/>
      <c r="D70"/>
      <c r="E70"/>
      <c r="F70"/>
      <c r="G70"/>
      <c r="H70"/>
      <c r="I70" s="13"/>
    </row>
    <row r="71" spans="1:9">
      <c r="A71"/>
      <c r="B71"/>
      <c r="C71"/>
      <c r="D71"/>
      <c r="E71"/>
      <c r="F71"/>
      <c r="G71"/>
      <c r="H71"/>
      <c r="I71" s="13"/>
    </row>
    <row r="72" spans="1:9">
      <c r="A72"/>
      <c r="B72"/>
      <c r="C72"/>
      <c r="D72"/>
      <c r="E72"/>
      <c r="F72"/>
      <c r="G72"/>
      <c r="H72"/>
      <c r="I72" s="13"/>
    </row>
    <row r="73" spans="1:9">
      <c r="A73"/>
      <c r="B73"/>
      <c r="C73"/>
      <c r="D73"/>
      <c r="E73"/>
      <c r="F73"/>
      <c r="G73"/>
      <c r="H73"/>
      <c r="I73" s="13"/>
    </row>
    <row r="74" spans="1:9">
      <c r="A74"/>
      <c r="B74"/>
      <c r="C74"/>
      <c r="D74"/>
      <c r="E74"/>
      <c r="F74"/>
      <c r="G74"/>
      <c r="H74"/>
      <c r="I74" s="13"/>
    </row>
    <row r="75" spans="1:9">
      <c r="A75"/>
      <c r="B75"/>
      <c r="C75"/>
      <c r="D75"/>
      <c r="E75"/>
      <c r="F75"/>
      <c r="G75"/>
      <c r="H75"/>
      <c r="I75" s="13"/>
    </row>
    <row r="76" spans="1:9">
      <c r="A76"/>
      <c r="B76"/>
      <c r="C76"/>
      <c r="D76"/>
      <c r="E76"/>
      <c r="F76"/>
      <c r="G76"/>
      <c r="H76"/>
      <c r="I76" s="13"/>
    </row>
    <row r="77" spans="1:9">
      <c r="A77"/>
      <c r="B77"/>
      <c r="C77"/>
      <c r="D77"/>
      <c r="E77"/>
      <c r="F77"/>
      <c r="G77"/>
      <c r="H77"/>
      <c r="I77" s="13"/>
    </row>
    <row r="78" spans="1:9">
      <c r="A78"/>
      <c r="B78"/>
      <c r="C78"/>
      <c r="D78"/>
      <c r="E78"/>
      <c r="F78"/>
      <c r="G78"/>
      <c r="H78"/>
      <c r="I78" s="13"/>
    </row>
    <row r="79" spans="1:9">
      <c r="A79"/>
      <c r="B79"/>
      <c r="C79"/>
      <c r="D79"/>
      <c r="E79"/>
      <c r="F79"/>
      <c r="G79"/>
      <c r="H79"/>
      <c r="I79" s="13"/>
    </row>
    <row r="80" spans="1:9">
      <c r="A80"/>
      <c r="B80"/>
      <c r="C80"/>
      <c r="D80"/>
      <c r="E80"/>
      <c r="F80"/>
      <c r="G80"/>
      <c r="H80"/>
      <c r="I80" s="13"/>
    </row>
    <row r="81" spans="1:9">
      <c r="A81"/>
      <c r="B81"/>
      <c r="C81"/>
      <c r="D81"/>
      <c r="E81"/>
      <c r="F81"/>
      <c r="G81"/>
      <c r="H81"/>
      <c r="I81" s="13"/>
    </row>
    <row r="82" spans="1:9">
      <c r="A82"/>
      <c r="B82"/>
      <c r="C82"/>
      <c r="D82"/>
      <c r="E82"/>
      <c r="F82"/>
      <c r="G82"/>
      <c r="H82"/>
      <c r="I82" s="13"/>
    </row>
    <row r="83" spans="1:9">
      <c r="A83"/>
      <c r="B83"/>
      <c r="C83"/>
      <c r="D83"/>
      <c r="E83"/>
      <c r="F83"/>
      <c r="G83"/>
      <c r="H83"/>
      <c r="I83" s="13"/>
    </row>
    <row r="84" spans="1:9">
      <c r="A84"/>
      <c r="B84"/>
      <c r="C84"/>
      <c r="D84"/>
      <c r="E84"/>
      <c r="F84"/>
      <c r="G84"/>
      <c r="H84"/>
      <c r="I84" s="13"/>
    </row>
    <row r="85" spans="1:9">
      <c r="A85"/>
      <c r="B85"/>
      <c r="C85"/>
      <c r="D85"/>
      <c r="E85"/>
      <c r="F85"/>
      <c r="G85"/>
      <c r="H85"/>
      <c r="I85" s="13"/>
    </row>
    <row r="86" spans="1:9">
      <c r="A86"/>
      <c r="B86"/>
      <c r="C86"/>
      <c r="D86"/>
      <c r="E86"/>
      <c r="F86"/>
      <c r="G86"/>
      <c r="H86"/>
      <c r="I86" s="13"/>
    </row>
    <row r="87" spans="1:9">
      <c r="A87"/>
      <c r="B87"/>
      <c r="C87"/>
      <c r="D87"/>
      <c r="E87"/>
      <c r="F87"/>
      <c r="G87"/>
      <c r="H87"/>
      <c r="I87" s="13"/>
    </row>
    <row r="88" spans="1:9">
      <c r="A88"/>
      <c r="B88"/>
      <c r="C88"/>
      <c r="D88"/>
      <c r="E88"/>
      <c r="F88"/>
      <c r="G88"/>
      <c r="H88"/>
      <c r="I88" s="13"/>
    </row>
    <row r="89" spans="1:9">
      <c r="A89"/>
      <c r="B89"/>
      <c r="C89"/>
      <c r="D89"/>
      <c r="E89"/>
      <c r="F89"/>
      <c r="G89"/>
      <c r="H89"/>
      <c r="I89" s="13"/>
    </row>
    <row r="90" spans="1:9">
      <c r="A90"/>
      <c r="B90"/>
      <c r="C90"/>
      <c r="D90"/>
      <c r="E90"/>
      <c r="F90"/>
      <c r="G90"/>
      <c r="H90"/>
      <c r="I90" s="13"/>
    </row>
    <row r="91" spans="1:9">
      <c r="A91"/>
      <c r="B91"/>
      <c r="C91"/>
      <c r="D91"/>
      <c r="E91"/>
      <c r="F91"/>
      <c r="G91"/>
      <c r="H91"/>
      <c r="I91" s="13"/>
    </row>
    <row r="92" spans="1:9">
      <c r="A92"/>
      <c r="B92"/>
      <c r="C92"/>
      <c r="D92"/>
      <c r="E92"/>
      <c r="F92"/>
      <c r="G92"/>
      <c r="H92"/>
      <c r="I92" s="13"/>
    </row>
    <row r="93" spans="1:9">
      <c r="A93"/>
      <c r="B93"/>
      <c r="C93"/>
      <c r="D93"/>
      <c r="E93"/>
      <c r="F93"/>
      <c r="G93"/>
      <c r="H93"/>
      <c r="I93" s="13"/>
    </row>
    <row r="94" spans="1:9">
      <c r="A94"/>
      <c r="B94"/>
      <c r="C94"/>
      <c r="D94"/>
      <c r="E94"/>
      <c r="F94"/>
      <c r="G94"/>
      <c r="H94"/>
      <c r="I94" s="13"/>
    </row>
    <row r="95" spans="1:9">
      <c r="A95"/>
      <c r="B95"/>
      <c r="C95"/>
      <c r="D95"/>
      <c r="E95"/>
      <c r="F95"/>
      <c r="G95"/>
      <c r="H95"/>
      <c r="I95" s="13"/>
    </row>
    <row r="96" spans="1:9">
      <c r="A96"/>
      <c r="B96"/>
      <c r="C96"/>
      <c r="D96"/>
      <c r="E96"/>
      <c r="F96"/>
      <c r="G96"/>
      <c r="H96"/>
      <c r="I96" s="13"/>
    </row>
    <row r="97" spans="1:9">
      <c r="A97"/>
      <c r="B97"/>
      <c r="C97"/>
      <c r="D97"/>
      <c r="E97"/>
      <c r="F97"/>
      <c r="G97"/>
      <c r="H97"/>
      <c r="I97" s="13"/>
    </row>
    <row r="98" spans="1:9">
      <c r="A98"/>
      <c r="B98"/>
      <c r="C98"/>
      <c r="D98"/>
      <c r="E98"/>
      <c r="F98"/>
      <c r="G98"/>
      <c r="H98"/>
      <c r="I98" s="13"/>
    </row>
    <row r="99" spans="1:9">
      <c r="A99"/>
      <c r="B99"/>
      <c r="C99"/>
      <c r="D99"/>
      <c r="E99"/>
      <c r="F99"/>
      <c r="G99"/>
      <c r="H99"/>
      <c r="I99" s="13"/>
    </row>
    <row r="100" spans="1:9">
      <c r="A100"/>
      <c r="B100"/>
      <c r="C100"/>
      <c r="D100"/>
      <c r="E100"/>
      <c r="F100"/>
      <c r="G100"/>
      <c r="H100"/>
      <c r="I100" s="13"/>
    </row>
    <row r="101" spans="1:9">
      <c r="A101"/>
      <c r="B101"/>
      <c r="C101"/>
      <c r="D101"/>
      <c r="E101"/>
      <c r="F101"/>
      <c r="G101"/>
      <c r="H101"/>
      <c r="I101" s="13"/>
    </row>
    <row r="102" spans="1:9">
      <c r="A102"/>
      <c r="B102"/>
      <c r="C102"/>
      <c r="D102"/>
      <c r="E102"/>
      <c r="F102"/>
      <c r="G102"/>
      <c r="H102"/>
      <c r="I102" s="13"/>
    </row>
    <row r="103" spans="1:9">
      <c r="A103"/>
      <c r="B103"/>
      <c r="C103"/>
      <c r="D103"/>
      <c r="E103"/>
      <c r="F103"/>
      <c r="G103"/>
      <c r="H103"/>
      <c r="I103" s="13"/>
    </row>
    <row r="104" spans="1:9">
      <c r="A104"/>
      <c r="B104"/>
      <c r="C104"/>
      <c r="D104"/>
      <c r="E104"/>
      <c r="F104"/>
      <c r="G104"/>
      <c r="H104"/>
      <c r="I104" s="13"/>
    </row>
    <row r="105" spans="1:9">
      <c r="A105"/>
      <c r="B105"/>
      <c r="C105"/>
      <c r="D105"/>
      <c r="E105"/>
      <c r="F105"/>
      <c r="G105"/>
      <c r="H105"/>
      <c r="I105" s="13"/>
    </row>
    <row r="106" spans="1:9">
      <c r="A106"/>
      <c r="B106"/>
      <c r="C106"/>
      <c r="D106"/>
      <c r="E106"/>
      <c r="F106"/>
      <c r="G106"/>
      <c r="H106"/>
      <c r="I106" s="13"/>
    </row>
    <row r="107" spans="1:9">
      <c r="A107"/>
      <c r="B107"/>
      <c r="C107"/>
      <c r="D107"/>
      <c r="E107"/>
      <c r="F107"/>
      <c r="G107"/>
      <c r="H107"/>
      <c r="I107" s="13"/>
    </row>
    <row r="108" spans="1:9">
      <c r="A108"/>
      <c r="B108"/>
      <c r="C108"/>
      <c r="D108"/>
      <c r="E108"/>
      <c r="F108"/>
      <c r="G108"/>
      <c r="H108"/>
      <c r="I108" s="13"/>
    </row>
    <row r="109" spans="1:9">
      <c r="A109"/>
      <c r="B109"/>
      <c r="C109"/>
      <c r="D109"/>
      <c r="E109"/>
      <c r="F109"/>
      <c r="G109"/>
      <c r="H109"/>
      <c r="I109" s="13"/>
    </row>
    <row r="110" spans="1:9">
      <c r="A110"/>
      <c r="B110"/>
      <c r="C110"/>
      <c r="D110"/>
      <c r="E110"/>
      <c r="F110"/>
      <c r="G110"/>
      <c r="H110"/>
      <c r="I110" s="13"/>
    </row>
    <row r="111" spans="1:9">
      <c r="A111"/>
      <c r="B111"/>
      <c r="C111"/>
      <c r="D111"/>
      <c r="E111"/>
      <c r="F111"/>
      <c r="G111"/>
      <c r="H111"/>
      <c r="I111" s="13"/>
    </row>
    <row r="112" spans="1:9">
      <c r="A112"/>
      <c r="B112"/>
      <c r="C112"/>
      <c r="D112"/>
      <c r="E112"/>
      <c r="F112"/>
      <c r="G112"/>
      <c r="H112"/>
      <c r="I112" s="13"/>
    </row>
    <row r="113" spans="1:9">
      <c r="A113"/>
      <c r="B113"/>
      <c r="C113"/>
      <c r="D113"/>
      <c r="E113"/>
      <c r="F113"/>
      <c r="G113"/>
      <c r="H113"/>
      <c r="I113" s="13"/>
    </row>
    <row r="114" spans="1:9">
      <c r="A114"/>
      <c r="B114"/>
      <c r="C114"/>
      <c r="D114"/>
      <c r="E114"/>
      <c r="F114"/>
      <c r="G114"/>
      <c r="H114"/>
      <c r="I114" s="13"/>
    </row>
    <row r="115" spans="1:9">
      <c r="A115"/>
      <c r="B115"/>
      <c r="C115"/>
      <c r="D115"/>
      <c r="E115"/>
      <c r="F115"/>
      <c r="G115"/>
      <c r="H115"/>
      <c r="I115" s="13"/>
    </row>
    <row r="116" spans="1:9">
      <c r="A116"/>
      <c r="B116"/>
      <c r="C116"/>
      <c r="D116"/>
      <c r="E116"/>
      <c r="F116"/>
      <c r="G116"/>
      <c r="H116"/>
      <c r="I116" s="13"/>
    </row>
    <row r="117" spans="1:9">
      <c r="A117"/>
      <c r="B117"/>
      <c r="C117"/>
      <c r="D117"/>
      <c r="E117"/>
      <c r="F117"/>
      <c r="G117"/>
      <c r="H117"/>
      <c r="I117" s="13"/>
    </row>
    <row r="118" spans="1:9">
      <c r="A118"/>
      <c r="B118"/>
      <c r="C118"/>
      <c r="D118"/>
      <c r="E118"/>
      <c r="F118"/>
      <c r="G118"/>
      <c r="H118"/>
      <c r="I118" s="13"/>
    </row>
    <row r="119" spans="1:9">
      <c r="A119"/>
      <c r="B119"/>
      <c r="C119"/>
      <c r="D119"/>
      <c r="E119"/>
      <c r="F119"/>
      <c r="G119"/>
      <c r="H119"/>
      <c r="I119" s="13"/>
    </row>
    <row r="120" spans="1:9">
      <c r="A120"/>
      <c r="B120"/>
      <c r="C120"/>
      <c r="D120"/>
      <c r="E120"/>
      <c r="F120"/>
      <c r="G120"/>
      <c r="H120"/>
      <c r="I120" s="13"/>
    </row>
    <row r="121" spans="1:9">
      <c r="A121"/>
      <c r="B121"/>
      <c r="C121"/>
      <c r="D121"/>
      <c r="E121"/>
      <c r="F121"/>
      <c r="G121"/>
      <c r="H121"/>
      <c r="I121" s="13"/>
    </row>
    <row r="122" spans="1:9">
      <c r="A122"/>
      <c r="B122"/>
      <c r="C122"/>
      <c r="D122"/>
      <c r="E122"/>
      <c r="F122"/>
      <c r="G122"/>
      <c r="H122"/>
      <c r="I122" s="13"/>
    </row>
    <row r="123" spans="1:9">
      <c r="A123"/>
      <c r="B123"/>
      <c r="C123"/>
      <c r="D123"/>
      <c r="E123"/>
      <c r="F123"/>
      <c r="G123"/>
      <c r="H123"/>
      <c r="I123" s="13"/>
    </row>
    <row r="124" spans="1:9">
      <c r="A124"/>
      <c r="B124"/>
      <c r="C124"/>
      <c r="D124"/>
      <c r="E124"/>
      <c r="F124"/>
      <c r="G124"/>
      <c r="H124"/>
      <c r="I124" s="13"/>
    </row>
    <row r="125" spans="1:9">
      <c r="A125"/>
      <c r="B125"/>
      <c r="C125"/>
      <c r="D125"/>
      <c r="E125"/>
      <c r="F125"/>
      <c r="G125"/>
      <c r="H125"/>
      <c r="I125" s="13"/>
    </row>
    <row r="126" spans="1:9">
      <c r="A126"/>
      <c r="B126"/>
      <c r="C126"/>
      <c r="D126"/>
      <c r="E126"/>
      <c r="F126"/>
      <c r="G126"/>
      <c r="H126"/>
      <c r="I126" s="13"/>
    </row>
    <row r="127" spans="1:9">
      <c r="A127"/>
      <c r="B127"/>
      <c r="C127"/>
      <c r="D127"/>
      <c r="E127"/>
      <c r="F127"/>
      <c r="G127"/>
      <c r="H127"/>
      <c r="I127" s="13"/>
    </row>
    <row r="128" spans="1:9">
      <c r="A128"/>
      <c r="B128"/>
      <c r="C128"/>
      <c r="D128"/>
      <c r="E128"/>
      <c r="F128"/>
      <c r="G128"/>
      <c r="H128"/>
      <c r="I128" s="13"/>
    </row>
    <row r="129" spans="1:9">
      <c r="A129"/>
      <c r="B129"/>
      <c r="C129"/>
      <c r="D129"/>
      <c r="E129"/>
      <c r="F129"/>
      <c r="G129"/>
      <c r="H129"/>
      <c r="I129" s="13"/>
    </row>
    <row r="130" spans="1:9">
      <c r="A130"/>
      <c r="B130"/>
      <c r="C130"/>
      <c r="D130"/>
      <c r="E130"/>
      <c r="F130"/>
      <c r="G130"/>
      <c r="H130"/>
      <c r="I130" s="13"/>
    </row>
    <row r="131" spans="1:9">
      <c r="A131"/>
      <c r="B131"/>
      <c r="C131"/>
      <c r="D131"/>
      <c r="E131"/>
      <c r="F131"/>
      <c r="G131"/>
      <c r="H131"/>
      <c r="I131" s="13"/>
    </row>
    <row r="132" spans="1:9">
      <c r="A132"/>
      <c r="B132"/>
      <c r="C132"/>
      <c r="D132"/>
      <c r="E132"/>
      <c r="F132"/>
      <c r="G132"/>
      <c r="H132"/>
      <c r="I132" s="13"/>
    </row>
    <row r="133" spans="1:9">
      <c r="A133"/>
      <c r="B133"/>
      <c r="C133"/>
      <c r="D133"/>
      <c r="E133"/>
      <c r="F133"/>
      <c r="G133"/>
      <c r="H133"/>
      <c r="I133" s="13"/>
    </row>
    <row r="134" spans="1:9">
      <c r="A134"/>
      <c r="B134"/>
      <c r="C134"/>
      <c r="D134"/>
      <c r="E134"/>
      <c r="F134"/>
      <c r="G134"/>
      <c r="H134"/>
      <c r="I134" s="13"/>
    </row>
    <row r="135" spans="1:9">
      <c r="A135"/>
      <c r="B135"/>
      <c r="C135"/>
      <c r="D135"/>
      <c r="E135"/>
      <c r="F135"/>
      <c r="G135"/>
      <c r="H135"/>
      <c r="I135" s="13"/>
    </row>
    <row r="136" spans="1:9">
      <c r="A136"/>
      <c r="B136"/>
      <c r="C136"/>
      <c r="D136"/>
      <c r="E136"/>
      <c r="F136"/>
      <c r="G136"/>
      <c r="H136"/>
      <c r="I136" s="13"/>
    </row>
    <row r="137" spans="1:9">
      <c r="A137"/>
      <c r="B137"/>
      <c r="C137"/>
      <c r="D137"/>
      <c r="E137"/>
      <c r="F137"/>
      <c r="G137"/>
      <c r="H137"/>
      <c r="I137" s="13"/>
    </row>
    <row r="138" spans="1:9">
      <c r="A138"/>
      <c r="B138"/>
      <c r="C138"/>
      <c r="D138"/>
      <c r="E138"/>
      <c r="F138"/>
      <c r="G138"/>
      <c r="H138"/>
      <c r="I138" s="13"/>
    </row>
    <row r="139" spans="1:9">
      <c r="A139"/>
      <c r="B139"/>
      <c r="C139"/>
      <c r="D139"/>
      <c r="E139"/>
      <c r="F139"/>
      <c r="G139"/>
      <c r="H139"/>
      <c r="I139" s="13"/>
    </row>
    <row r="140" spans="1:9">
      <c r="A140"/>
      <c r="B140"/>
      <c r="C140"/>
      <c r="D140"/>
      <c r="E140"/>
      <c r="F140"/>
      <c r="G140"/>
      <c r="H140"/>
      <c r="I140" s="13"/>
    </row>
    <row r="141" spans="1:9">
      <c r="A141"/>
      <c r="B141"/>
      <c r="C141"/>
      <c r="D141"/>
      <c r="E141"/>
      <c r="F141"/>
      <c r="G141"/>
      <c r="H141"/>
      <c r="I141" s="13"/>
    </row>
    <row r="142" spans="1:9">
      <c r="A142"/>
      <c r="B142"/>
      <c r="C142"/>
      <c r="D142"/>
      <c r="E142"/>
      <c r="F142"/>
      <c r="G142"/>
      <c r="H142"/>
      <c r="I142" s="13"/>
    </row>
    <row r="143" spans="1:9">
      <c r="A143"/>
      <c r="B143"/>
      <c r="C143"/>
      <c r="D143"/>
      <c r="E143"/>
      <c r="F143"/>
      <c r="G143"/>
      <c r="H143"/>
      <c r="I143" s="13"/>
    </row>
    <row r="144" spans="1:9">
      <c r="A144"/>
      <c r="B144"/>
      <c r="C144"/>
      <c r="D144"/>
      <c r="E144"/>
      <c r="F144"/>
      <c r="G144"/>
      <c r="H144"/>
      <c r="I144" s="13"/>
    </row>
    <row r="145" spans="1:9">
      <c r="A145"/>
      <c r="B145"/>
      <c r="C145"/>
      <c r="D145"/>
      <c r="E145"/>
      <c r="F145"/>
      <c r="G145"/>
      <c r="H145"/>
      <c r="I145" s="13"/>
    </row>
    <row r="146" spans="1:9">
      <c r="A146"/>
      <c r="B146"/>
      <c r="C146"/>
      <c r="D146"/>
      <c r="E146"/>
      <c r="F146"/>
      <c r="G146"/>
      <c r="H146"/>
      <c r="I146" s="13"/>
    </row>
    <row r="147" spans="1:9">
      <c r="A147"/>
      <c r="B147"/>
      <c r="C147"/>
      <c r="D147"/>
      <c r="E147"/>
      <c r="F147"/>
      <c r="G147"/>
      <c r="H147"/>
      <c r="I147" s="13"/>
    </row>
    <row r="148" spans="1:9">
      <c r="A148"/>
      <c r="B148"/>
      <c r="C148"/>
      <c r="D148"/>
      <c r="E148"/>
      <c r="F148"/>
      <c r="G148"/>
      <c r="H148"/>
      <c r="I148" s="13"/>
    </row>
    <row r="149" spans="1:9">
      <c r="A149"/>
      <c r="B149"/>
      <c r="C149"/>
      <c r="D149"/>
      <c r="E149"/>
      <c r="F149"/>
      <c r="G149"/>
      <c r="H149"/>
      <c r="I149" s="13"/>
    </row>
    <row r="150" spans="1:9">
      <c r="A150"/>
      <c r="B150"/>
      <c r="C150"/>
      <c r="D150"/>
      <c r="E150"/>
      <c r="F150"/>
      <c r="G150"/>
      <c r="H150"/>
      <c r="I150" s="13"/>
    </row>
    <row r="151" spans="1:9">
      <c r="A151"/>
      <c r="B151"/>
      <c r="C151"/>
      <c r="D151"/>
      <c r="E151"/>
      <c r="F151"/>
      <c r="G151"/>
      <c r="H151"/>
      <c r="I151" s="13"/>
    </row>
    <row r="152" spans="1:9">
      <c r="A152"/>
      <c r="B152"/>
      <c r="C152"/>
      <c r="D152"/>
      <c r="E152"/>
      <c r="F152"/>
      <c r="G152"/>
      <c r="H152"/>
      <c r="I152" s="13"/>
    </row>
    <row r="153" spans="1:9">
      <c r="A153"/>
      <c r="B153"/>
      <c r="C153"/>
      <c r="D153"/>
      <c r="E153"/>
      <c r="F153"/>
      <c r="G153"/>
      <c r="H153"/>
      <c r="I153" s="13"/>
    </row>
    <row r="154" spans="1:9">
      <c r="A154"/>
      <c r="B154"/>
      <c r="C154"/>
      <c r="D154"/>
      <c r="E154"/>
      <c r="F154"/>
      <c r="G154"/>
      <c r="H154"/>
      <c r="I154" s="13"/>
    </row>
    <row r="155" spans="1:9">
      <c r="A155"/>
      <c r="B155"/>
      <c r="C155"/>
      <c r="D155"/>
      <c r="E155"/>
      <c r="F155"/>
      <c r="G155"/>
      <c r="H155"/>
      <c r="I155" s="13"/>
    </row>
    <row r="156" spans="1:9">
      <c r="A156"/>
      <c r="B156"/>
      <c r="C156"/>
      <c r="D156"/>
      <c r="E156"/>
      <c r="F156"/>
      <c r="G156"/>
      <c r="H156"/>
      <c r="I156" s="13"/>
    </row>
    <row r="157" spans="1:9">
      <c r="A157"/>
      <c r="B157"/>
      <c r="C157"/>
      <c r="D157"/>
      <c r="E157"/>
      <c r="F157"/>
      <c r="G157"/>
      <c r="H157"/>
      <c r="I157" s="13"/>
    </row>
    <row r="158" spans="1:9">
      <c r="A158"/>
      <c r="B158"/>
      <c r="C158"/>
      <c r="D158"/>
      <c r="E158"/>
      <c r="F158"/>
      <c r="G158"/>
      <c r="H158"/>
      <c r="I158" s="13"/>
    </row>
    <row r="159" spans="1:9">
      <c r="A159"/>
      <c r="B159"/>
      <c r="C159"/>
      <c r="D159"/>
      <c r="E159"/>
      <c r="F159"/>
      <c r="G159"/>
      <c r="H159"/>
      <c r="I159" s="13"/>
    </row>
    <row r="160" spans="1:9">
      <c r="A160"/>
      <c r="B160"/>
      <c r="C160"/>
      <c r="D160"/>
      <c r="E160"/>
      <c r="F160"/>
      <c r="G160"/>
      <c r="H160"/>
      <c r="I160" s="13"/>
    </row>
    <row r="161" spans="1:9">
      <c r="A161"/>
      <c r="B161"/>
      <c r="C161"/>
      <c r="D161"/>
      <c r="E161"/>
      <c r="F161"/>
      <c r="G161"/>
      <c r="H161"/>
      <c r="I161" s="13"/>
    </row>
    <row r="162" spans="1:9">
      <c r="A162"/>
      <c r="B162"/>
      <c r="C162"/>
      <c r="D162"/>
      <c r="E162"/>
      <c r="F162"/>
      <c r="G162"/>
      <c r="H162"/>
      <c r="I162" s="13"/>
    </row>
    <row r="163" spans="1:9">
      <c r="A163"/>
      <c r="B163"/>
      <c r="C163"/>
      <c r="D163"/>
      <c r="E163"/>
      <c r="F163"/>
      <c r="G163"/>
      <c r="H163"/>
      <c r="I163" s="13"/>
    </row>
    <row r="164" spans="1:9">
      <c r="A164"/>
      <c r="B164"/>
      <c r="C164"/>
      <c r="D164"/>
      <c r="E164"/>
      <c r="F164"/>
      <c r="G164"/>
      <c r="H164"/>
      <c r="I164" s="13"/>
    </row>
    <row r="165" spans="1:9">
      <c r="A165"/>
      <c r="B165"/>
      <c r="C165"/>
      <c r="D165"/>
      <c r="E165"/>
      <c r="F165"/>
      <c r="G165"/>
      <c r="H165"/>
      <c r="I165" s="13"/>
    </row>
    <row r="166" spans="1:9">
      <c r="A166"/>
      <c r="B166"/>
      <c r="C166"/>
      <c r="D166"/>
      <c r="E166"/>
      <c r="F166"/>
      <c r="G166"/>
      <c r="H166"/>
      <c r="I166" s="13"/>
    </row>
    <row r="167" spans="1:9">
      <c r="A167"/>
      <c r="B167"/>
      <c r="C167"/>
      <c r="D167"/>
      <c r="E167"/>
      <c r="F167"/>
      <c r="G167"/>
      <c r="H167"/>
      <c r="I167" s="13"/>
    </row>
    <row r="168" spans="1:9">
      <c r="A168"/>
      <c r="B168"/>
      <c r="C168"/>
      <c r="D168"/>
      <c r="E168"/>
      <c r="F168"/>
      <c r="G168"/>
      <c r="H168"/>
      <c r="I168" s="13"/>
    </row>
    <row r="169" spans="1:9">
      <c r="A169"/>
      <c r="B169"/>
      <c r="C169"/>
      <c r="D169"/>
      <c r="E169"/>
      <c r="F169"/>
      <c r="G169"/>
      <c r="H169"/>
      <c r="I169" s="13"/>
    </row>
    <row r="170" spans="1:9">
      <c r="A170"/>
      <c r="B170"/>
      <c r="C170"/>
      <c r="D170"/>
      <c r="E170"/>
      <c r="F170"/>
      <c r="G170"/>
      <c r="H170"/>
      <c r="I170" s="13"/>
    </row>
    <row r="171" spans="1:9">
      <c r="A171"/>
      <c r="B171"/>
      <c r="C171"/>
      <c r="D171"/>
      <c r="E171"/>
      <c r="F171"/>
      <c r="G171"/>
      <c r="H171"/>
      <c r="I171" s="13"/>
    </row>
    <row r="172" spans="1:9">
      <c r="A172"/>
      <c r="B172"/>
      <c r="C172"/>
      <c r="D172"/>
      <c r="E172"/>
      <c r="F172"/>
      <c r="G172"/>
      <c r="H172"/>
      <c r="I172" s="13"/>
    </row>
    <row r="173" spans="1:9">
      <c r="A173"/>
      <c r="B173"/>
      <c r="C173"/>
      <c r="D173"/>
      <c r="E173"/>
      <c r="F173"/>
      <c r="G173"/>
      <c r="H173"/>
      <c r="I173" s="13"/>
    </row>
    <row r="174" spans="1:9">
      <c r="A174"/>
      <c r="B174"/>
      <c r="C174"/>
      <c r="D174"/>
      <c r="E174"/>
      <c r="F174"/>
      <c r="G174"/>
      <c r="H174"/>
      <c r="I174" s="13"/>
    </row>
    <row r="175" spans="1:9">
      <c r="A175"/>
      <c r="B175"/>
      <c r="C175"/>
      <c r="D175"/>
      <c r="E175"/>
      <c r="F175"/>
      <c r="G175"/>
      <c r="H175"/>
      <c r="I175" s="13"/>
    </row>
    <row r="176" spans="1:9">
      <c r="A176"/>
      <c r="B176"/>
      <c r="C176"/>
      <c r="D176"/>
      <c r="E176"/>
      <c r="F176"/>
      <c r="G176"/>
      <c r="H176"/>
      <c r="I176" s="13"/>
    </row>
    <row r="177" spans="1:9">
      <c r="A177"/>
      <c r="B177"/>
      <c r="C177"/>
      <c r="D177"/>
      <c r="E177"/>
      <c r="F177"/>
      <c r="G177"/>
      <c r="H177"/>
      <c r="I177" s="13"/>
    </row>
    <row r="178" spans="1:9">
      <c r="A178"/>
      <c r="B178"/>
      <c r="C178"/>
      <c r="D178"/>
      <c r="E178"/>
      <c r="F178"/>
      <c r="G178"/>
      <c r="H178"/>
      <c r="I178" s="13"/>
    </row>
    <row r="179" spans="1:9">
      <c r="A179"/>
      <c r="B179"/>
      <c r="C179"/>
      <c r="D179"/>
      <c r="E179"/>
      <c r="F179"/>
      <c r="G179"/>
      <c r="H179"/>
      <c r="I179" s="13"/>
    </row>
    <row r="180" spans="1:9">
      <c r="A180"/>
      <c r="B180"/>
      <c r="C180"/>
      <c r="D180"/>
      <c r="E180"/>
      <c r="F180"/>
      <c r="G180"/>
      <c r="H180"/>
      <c r="I180" s="13"/>
    </row>
    <row r="181" spans="1:9">
      <c r="A181"/>
      <c r="B181"/>
      <c r="C181"/>
      <c r="D181"/>
      <c r="E181"/>
      <c r="F181"/>
      <c r="G181"/>
      <c r="H181"/>
      <c r="I181" s="13"/>
    </row>
    <row r="182" spans="1:9">
      <c r="A182"/>
      <c r="B182"/>
      <c r="C182"/>
      <c r="D182"/>
      <c r="E182"/>
      <c r="F182"/>
      <c r="G182"/>
      <c r="H182"/>
      <c r="I182" s="13"/>
    </row>
    <row r="183" spans="1:9">
      <c r="A183"/>
      <c r="B183"/>
      <c r="C183"/>
      <c r="D183"/>
      <c r="E183"/>
      <c r="F183"/>
      <c r="G183"/>
      <c r="H183"/>
      <c r="I183" s="13"/>
    </row>
    <row r="184" spans="1:9">
      <c r="A184"/>
      <c r="B184"/>
      <c r="C184"/>
      <c r="D184"/>
      <c r="E184"/>
      <c r="F184"/>
      <c r="G184"/>
      <c r="H184"/>
      <c r="I184" s="13"/>
    </row>
    <row r="185" spans="1:9">
      <c r="A185"/>
      <c r="B185"/>
      <c r="C185"/>
      <c r="D185"/>
      <c r="E185"/>
      <c r="F185"/>
      <c r="G185"/>
      <c r="H185"/>
      <c r="I185" s="13"/>
    </row>
    <row r="186" spans="1:9">
      <c r="A186"/>
      <c r="B186"/>
      <c r="C186"/>
      <c r="D186"/>
      <c r="E186"/>
      <c r="F186"/>
      <c r="G186"/>
      <c r="H186"/>
      <c r="I186" s="13"/>
    </row>
    <row r="187" spans="1:9">
      <c r="A187"/>
      <c r="B187"/>
      <c r="C187"/>
      <c r="D187"/>
      <c r="E187"/>
      <c r="F187"/>
      <c r="G187"/>
      <c r="H187"/>
      <c r="I187" s="13"/>
    </row>
    <row r="188" spans="1:9">
      <c r="A188"/>
      <c r="B188"/>
      <c r="C188"/>
      <c r="D188"/>
      <c r="E188"/>
      <c r="F188"/>
      <c r="G188"/>
      <c r="H188"/>
      <c r="I188" s="13"/>
    </row>
    <row r="189" spans="1:9">
      <c r="A189"/>
      <c r="B189"/>
      <c r="C189"/>
      <c r="D189"/>
      <c r="E189"/>
      <c r="F189"/>
      <c r="G189"/>
      <c r="H189"/>
      <c r="I189" s="13"/>
    </row>
    <row r="190" spans="1:9">
      <c r="A190"/>
      <c r="B190"/>
      <c r="C190"/>
      <c r="D190"/>
      <c r="E190"/>
      <c r="F190"/>
      <c r="G190"/>
      <c r="H190"/>
      <c r="I190" s="13"/>
    </row>
    <row r="191" spans="1:9">
      <c r="A191"/>
      <c r="B191"/>
      <c r="C191"/>
      <c r="D191"/>
      <c r="E191"/>
      <c r="F191"/>
      <c r="G191"/>
      <c r="H191"/>
      <c r="I191" s="13"/>
    </row>
    <row r="192" spans="1:9">
      <c r="A192"/>
      <c r="B192"/>
      <c r="C192"/>
      <c r="D192"/>
      <c r="E192"/>
      <c r="F192"/>
      <c r="G192"/>
      <c r="H192"/>
      <c r="I192" s="13"/>
    </row>
    <row r="193" spans="1:9">
      <c r="A193"/>
      <c r="B193"/>
      <c r="C193"/>
      <c r="D193"/>
      <c r="E193"/>
      <c r="F193"/>
      <c r="G193"/>
      <c r="H193"/>
      <c r="I193" s="13"/>
    </row>
    <row r="194" spans="1:9">
      <c r="A194"/>
      <c r="B194"/>
      <c r="C194"/>
      <c r="D194"/>
      <c r="E194"/>
      <c r="F194"/>
      <c r="G194"/>
      <c r="H194"/>
      <c r="I194" s="13"/>
    </row>
    <row r="195" spans="1:9">
      <c r="A195"/>
      <c r="B195"/>
      <c r="C195"/>
      <c r="D195"/>
      <c r="E195"/>
      <c r="F195"/>
      <c r="G195"/>
      <c r="H195"/>
      <c r="I195" s="13"/>
    </row>
    <row r="196" spans="1:9">
      <c r="A196"/>
      <c r="B196"/>
      <c r="C196"/>
      <c r="D196"/>
      <c r="E196"/>
      <c r="F196"/>
      <c r="G196"/>
      <c r="H196"/>
      <c r="I196" s="13"/>
    </row>
    <row r="197" spans="1:9">
      <c r="A197"/>
      <c r="B197"/>
      <c r="C197"/>
      <c r="D197"/>
      <c r="E197"/>
      <c r="F197"/>
      <c r="G197"/>
      <c r="H197"/>
      <c r="I197" s="13"/>
    </row>
    <row r="198" spans="1:9">
      <c r="A198"/>
      <c r="B198"/>
      <c r="C198"/>
      <c r="D198"/>
      <c r="E198"/>
      <c r="F198"/>
      <c r="G198"/>
      <c r="H198"/>
      <c r="I198" s="13"/>
    </row>
    <row r="199" spans="1:9">
      <c r="A199"/>
      <c r="B199"/>
      <c r="C199"/>
      <c r="D199"/>
      <c r="E199"/>
      <c r="F199"/>
      <c r="G199"/>
      <c r="H199"/>
      <c r="I199" s="13"/>
    </row>
    <row r="200" spans="1:9">
      <c r="A200"/>
      <c r="B200"/>
      <c r="C200"/>
      <c r="D200"/>
      <c r="E200"/>
      <c r="F200"/>
      <c r="G200"/>
      <c r="H200"/>
      <c r="I200" s="13"/>
    </row>
    <row r="201" spans="1:9">
      <c r="A201"/>
      <c r="B201"/>
      <c r="C201"/>
      <c r="D201"/>
      <c r="E201"/>
      <c r="F201"/>
      <c r="G201"/>
      <c r="H201"/>
      <c r="I201" s="13"/>
    </row>
    <row r="202" spans="1:9">
      <c r="A202"/>
      <c r="B202"/>
      <c r="C202"/>
      <c r="D202"/>
      <c r="E202"/>
      <c r="F202"/>
      <c r="G202"/>
      <c r="H202"/>
      <c r="I202" s="13"/>
    </row>
    <row r="203" spans="1:9">
      <c r="A203"/>
      <c r="B203"/>
      <c r="C203"/>
      <c r="D203"/>
      <c r="E203"/>
      <c r="F203"/>
      <c r="G203"/>
      <c r="H203"/>
      <c r="I203" s="13"/>
    </row>
    <row r="204" spans="1:9">
      <c r="A204"/>
      <c r="B204"/>
      <c r="C204"/>
      <c r="D204"/>
      <c r="E204"/>
      <c r="F204"/>
      <c r="G204"/>
      <c r="H204"/>
      <c r="I204" s="13"/>
    </row>
    <row r="205" spans="1:9">
      <c r="A205"/>
      <c r="B205"/>
      <c r="C205"/>
      <c r="D205"/>
      <c r="E205"/>
      <c r="F205"/>
      <c r="G205"/>
      <c r="H205"/>
      <c r="I205" s="13"/>
    </row>
    <row r="206" spans="1:9">
      <c r="A206"/>
      <c r="B206"/>
      <c r="C206"/>
      <c r="D206"/>
      <c r="E206"/>
      <c r="F206"/>
      <c r="G206"/>
      <c r="H206"/>
      <c r="I206" s="13"/>
    </row>
    <row r="207" spans="1:9">
      <c r="A207"/>
      <c r="B207"/>
      <c r="C207"/>
      <c r="D207"/>
      <c r="E207"/>
      <c r="F207"/>
      <c r="G207"/>
      <c r="H207"/>
      <c r="I207" s="13"/>
    </row>
    <row r="208" spans="1:9">
      <c r="A208"/>
      <c r="B208"/>
      <c r="C208"/>
      <c r="D208"/>
      <c r="E208"/>
      <c r="F208"/>
      <c r="G208"/>
      <c r="H208"/>
      <c r="I208" s="13"/>
    </row>
    <row r="209" spans="1:9">
      <c r="A209"/>
      <c r="B209"/>
      <c r="C209"/>
      <c r="D209"/>
      <c r="E209"/>
      <c r="F209"/>
      <c r="G209"/>
      <c r="H209"/>
      <c r="I209" s="13"/>
    </row>
    <row r="210" spans="1:9">
      <c r="A210"/>
      <c r="B210"/>
      <c r="C210"/>
      <c r="D210"/>
      <c r="E210"/>
      <c r="F210"/>
      <c r="G210"/>
      <c r="H210"/>
      <c r="I210" s="13"/>
    </row>
    <row r="211" spans="1:9">
      <c r="A211"/>
      <c r="B211"/>
      <c r="C211"/>
      <c r="D211"/>
      <c r="E211"/>
      <c r="F211"/>
      <c r="G211"/>
      <c r="H211"/>
      <c r="I211" s="13"/>
    </row>
    <row r="212" spans="1:9">
      <c r="A212"/>
      <c r="B212"/>
      <c r="C212"/>
      <c r="D212"/>
      <c r="E212"/>
      <c r="F212"/>
      <c r="G212"/>
      <c r="H212"/>
      <c r="I212" s="13"/>
    </row>
    <row r="213" spans="1:9">
      <c r="A213"/>
      <c r="B213"/>
      <c r="C213"/>
      <c r="D213"/>
      <c r="E213"/>
      <c r="F213"/>
      <c r="G213"/>
      <c r="H213"/>
      <c r="I213" s="13"/>
    </row>
    <row r="214" spans="1:9">
      <c r="A214"/>
      <c r="B214"/>
      <c r="C214"/>
      <c r="D214"/>
      <c r="E214"/>
      <c r="F214"/>
      <c r="G214"/>
      <c r="H214"/>
      <c r="I214" s="13"/>
    </row>
    <row r="215" spans="1:9">
      <c r="A215"/>
      <c r="B215"/>
      <c r="C215"/>
      <c r="D215"/>
      <c r="E215"/>
      <c r="F215"/>
      <c r="G215"/>
      <c r="H215"/>
      <c r="I215" s="13"/>
    </row>
    <row r="216" spans="1:9">
      <c r="A216"/>
      <c r="B216"/>
      <c r="C216"/>
      <c r="D216"/>
      <c r="E216"/>
      <c r="F216"/>
      <c r="G216"/>
      <c r="H216"/>
      <c r="I216" s="13"/>
    </row>
    <row r="217" spans="1:9">
      <c r="A217"/>
      <c r="B217"/>
      <c r="C217"/>
      <c r="D217"/>
      <c r="E217"/>
      <c r="F217"/>
      <c r="G217"/>
      <c r="H217"/>
      <c r="I217" s="13"/>
    </row>
    <row r="218" spans="1:9">
      <c r="A218"/>
      <c r="B218"/>
      <c r="C218"/>
      <c r="D218"/>
      <c r="E218"/>
      <c r="F218"/>
      <c r="G218"/>
      <c r="H218"/>
      <c r="I218" s="13"/>
    </row>
    <row r="219" spans="1:9">
      <c r="A219"/>
      <c r="B219"/>
      <c r="C219"/>
      <c r="D219"/>
      <c r="E219"/>
      <c r="F219"/>
      <c r="G219"/>
      <c r="H219"/>
      <c r="I219" s="13"/>
    </row>
    <row r="220" spans="1:9">
      <c r="A220"/>
      <c r="B220"/>
      <c r="C220"/>
      <c r="D220"/>
      <c r="E220"/>
      <c r="F220"/>
      <c r="G220"/>
      <c r="H220"/>
      <c r="I220" s="13"/>
    </row>
    <row r="221" spans="1:9">
      <c r="A221"/>
      <c r="B221"/>
      <c r="C221"/>
      <c r="D221"/>
      <c r="E221"/>
      <c r="F221"/>
      <c r="G221"/>
      <c r="H221"/>
      <c r="I221" s="13"/>
    </row>
    <row r="222" spans="1:9">
      <c r="A222"/>
      <c r="B222"/>
      <c r="C222"/>
      <c r="D222"/>
      <c r="E222"/>
      <c r="F222"/>
      <c r="G222"/>
      <c r="H222"/>
      <c r="I222" s="13"/>
    </row>
    <row r="223" spans="1:9">
      <c r="A223"/>
      <c r="B223"/>
      <c r="C223"/>
      <c r="D223"/>
      <c r="E223"/>
      <c r="F223"/>
      <c r="G223"/>
      <c r="H223"/>
      <c r="I223" s="13"/>
    </row>
    <row r="224" spans="1:9">
      <c r="A224"/>
      <c r="B224"/>
      <c r="C224"/>
      <c r="D224"/>
      <c r="E224"/>
      <c r="F224"/>
      <c r="G224"/>
      <c r="H224"/>
      <c r="I224" s="13"/>
    </row>
    <row r="225" spans="1:9">
      <c r="A225"/>
      <c r="B225"/>
      <c r="C225"/>
      <c r="D225"/>
      <c r="E225"/>
      <c r="F225"/>
      <c r="G225"/>
      <c r="H225"/>
      <c r="I225" s="13"/>
    </row>
    <row r="226" spans="1:9">
      <c r="A226"/>
      <c r="B226"/>
      <c r="C226"/>
      <c r="D226"/>
      <c r="E226"/>
      <c r="F226"/>
      <c r="G226"/>
      <c r="H226"/>
      <c r="I226" s="13"/>
    </row>
    <row r="227" spans="1:9">
      <c r="A227"/>
      <c r="B227"/>
      <c r="C227"/>
      <c r="D227"/>
      <c r="E227"/>
      <c r="F227"/>
      <c r="G227"/>
      <c r="H227"/>
      <c r="I227" s="13"/>
    </row>
    <row r="228" spans="1:9">
      <c r="A228"/>
      <c r="B228"/>
      <c r="C228"/>
      <c r="D228"/>
      <c r="E228"/>
      <c r="F228"/>
      <c r="G228"/>
      <c r="H228"/>
      <c r="I228" s="13"/>
    </row>
    <row r="229" spans="1:9">
      <c r="A229"/>
      <c r="B229"/>
      <c r="C229"/>
      <c r="D229"/>
      <c r="E229"/>
      <c r="F229"/>
      <c r="G229"/>
      <c r="H229"/>
      <c r="I229" s="13"/>
    </row>
    <row r="230" spans="1:9">
      <c r="A230"/>
      <c r="B230"/>
      <c r="C230"/>
      <c r="D230"/>
      <c r="E230"/>
      <c r="F230"/>
      <c r="G230"/>
      <c r="H230"/>
      <c r="I230" s="13"/>
    </row>
    <row r="231" spans="1:9">
      <c r="A231"/>
      <c r="B231"/>
      <c r="C231"/>
      <c r="D231"/>
      <c r="E231"/>
      <c r="F231"/>
      <c r="G231"/>
      <c r="H231"/>
      <c r="I231" s="13"/>
    </row>
    <row r="232" spans="1:9">
      <c r="A232"/>
      <c r="B232"/>
      <c r="C232"/>
      <c r="D232"/>
      <c r="E232"/>
      <c r="F232"/>
      <c r="G232"/>
      <c r="H232"/>
      <c r="I232" s="13"/>
    </row>
    <row r="233" spans="1:9">
      <c r="A233"/>
      <c r="B233"/>
      <c r="C233"/>
      <c r="D233"/>
      <c r="E233"/>
      <c r="F233"/>
      <c r="G233"/>
      <c r="H233"/>
      <c r="I233" s="13"/>
    </row>
    <row r="234" spans="1:9">
      <c r="A234"/>
      <c r="B234"/>
      <c r="C234"/>
      <c r="D234"/>
      <c r="E234"/>
      <c r="F234"/>
      <c r="G234"/>
      <c r="H234"/>
      <c r="I234" s="13"/>
    </row>
    <row r="235" spans="1:9">
      <c r="A235"/>
      <c r="B235"/>
      <c r="C235"/>
      <c r="D235"/>
      <c r="E235"/>
      <c r="F235"/>
      <c r="G235"/>
      <c r="H235"/>
      <c r="I235" s="13"/>
    </row>
    <row r="236" spans="1:9">
      <c r="A236"/>
      <c r="B236"/>
      <c r="C236"/>
      <c r="D236"/>
      <c r="E236"/>
      <c r="F236"/>
      <c r="G236"/>
      <c r="H236"/>
      <c r="I236" s="13"/>
    </row>
    <row r="237" spans="1:9">
      <c r="A237"/>
      <c r="B237"/>
      <c r="C237"/>
      <c r="D237"/>
      <c r="E237"/>
      <c r="F237"/>
      <c r="G237"/>
      <c r="H237"/>
      <c r="I237" s="13"/>
    </row>
    <row r="238" spans="1:9">
      <c r="A238"/>
      <c r="B238"/>
      <c r="C238"/>
      <c r="D238"/>
      <c r="E238"/>
      <c r="F238"/>
      <c r="G238"/>
      <c r="H238"/>
      <c r="I238" s="13"/>
    </row>
    <row r="239" spans="1:9">
      <c r="A239"/>
      <c r="B239"/>
      <c r="C239"/>
      <c r="D239"/>
      <c r="E239"/>
      <c r="F239"/>
      <c r="G239"/>
      <c r="H239"/>
      <c r="I239" s="13"/>
    </row>
    <row r="240" spans="1:9">
      <c r="A240"/>
      <c r="B240"/>
      <c r="C240"/>
      <c r="D240"/>
      <c r="E240"/>
      <c r="F240"/>
      <c r="G240"/>
      <c r="H240"/>
      <c r="I240" s="13"/>
    </row>
    <row r="241" spans="1:9">
      <c r="A241"/>
      <c r="B241"/>
      <c r="C241"/>
      <c r="D241"/>
      <c r="E241"/>
      <c r="F241"/>
      <c r="G241"/>
      <c r="H241"/>
      <c r="I241" s="13"/>
    </row>
    <row r="242" spans="1:9">
      <c r="A242"/>
      <c r="B242"/>
      <c r="C242"/>
      <c r="D242"/>
      <c r="E242"/>
      <c r="F242"/>
      <c r="G242"/>
      <c r="H242"/>
      <c r="I242" s="13"/>
    </row>
    <row r="243" spans="1:9">
      <c r="A243"/>
      <c r="B243"/>
      <c r="C243"/>
      <c r="D243"/>
      <c r="E243"/>
      <c r="F243"/>
      <c r="G243"/>
      <c r="H243"/>
      <c r="I243" s="13"/>
    </row>
    <row r="244" spans="1:9">
      <c r="A244"/>
      <c r="B244"/>
      <c r="C244"/>
      <c r="D244"/>
      <c r="E244"/>
      <c r="F244"/>
      <c r="G244"/>
      <c r="H244"/>
      <c r="I244" s="13"/>
    </row>
    <row r="245" spans="1:9">
      <c r="A245"/>
      <c r="B245"/>
      <c r="C245"/>
      <c r="D245"/>
      <c r="E245"/>
      <c r="F245"/>
      <c r="G245"/>
      <c r="H245"/>
      <c r="I245" s="13"/>
    </row>
    <row r="246" spans="1:9">
      <c r="A246"/>
      <c r="B246"/>
      <c r="C246"/>
      <c r="D246"/>
      <c r="E246"/>
      <c r="F246"/>
      <c r="G246"/>
      <c r="H246"/>
      <c r="I246" s="13"/>
    </row>
    <row r="247" spans="1:9">
      <c r="A247"/>
      <c r="B247"/>
      <c r="C247"/>
      <c r="D247"/>
      <c r="E247"/>
      <c r="F247"/>
      <c r="G247"/>
      <c r="H247"/>
      <c r="I247" s="13"/>
    </row>
    <row r="248" spans="1:9">
      <c r="A248"/>
      <c r="B248"/>
      <c r="C248"/>
      <c r="D248"/>
      <c r="E248"/>
      <c r="F248"/>
      <c r="G248"/>
      <c r="H248"/>
      <c r="I248" s="13"/>
    </row>
    <row r="249" spans="1:9">
      <c r="A249"/>
      <c r="B249"/>
      <c r="C249"/>
      <c r="D249"/>
      <c r="E249"/>
      <c r="F249"/>
      <c r="G249"/>
      <c r="H249"/>
      <c r="I249" s="13"/>
    </row>
    <row r="250" spans="1:9">
      <c r="A250"/>
      <c r="B250"/>
      <c r="C250"/>
      <c r="D250"/>
      <c r="E250"/>
      <c r="F250"/>
      <c r="G250"/>
      <c r="H250"/>
      <c r="I250" s="13"/>
    </row>
    <row r="251" spans="1:9">
      <c r="A251"/>
      <c r="B251"/>
      <c r="C251"/>
      <c r="D251"/>
      <c r="E251"/>
      <c r="F251"/>
      <c r="G251"/>
      <c r="H251"/>
      <c r="I251" s="13"/>
    </row>
    <row r="252" spans="1:9">
      <c r="A252"/>
      <c r="B252"/>
      <c r="C252"/>
      <c r="D252"/>
      <c r="E252"/>
      <c r="F252"/>
      <c r="G252"/>
      <c r="H252"/>
      <c r="I252" s="13"/>
    </row>
    <row r="253" spans="1:9">
      <c r="A253"/>
      <c r="B253"/>
      <c r="C253"/>
      <c r="D253"/>
      <c r="E253"/>
      <c r="F253"/>
      <c r="G253"/>
      <c r="H253"/>
      <c r="I253" s="13"/>
    </row>
    <row r="254" spans="1:9">
      <c r="A254"/>
      <c r="B254"/>
      <c r="C254"/>
      <c r="D254"/>
      <c r="E254"/>
      <c r="F254"/>
      <c r="G254"/>
      <c r="H254"/>
      <c r="I254" s="13"/>
    </row>
    <row r="255" spans="1:9">
      <c r="A255"/>
      <c r="B255"/>
      <c r="C255"/>
      <c r="D255"/>
      <c r="E255"/>
      <c r="F255"/>
      <c r="G255"/>
      <c r="H255"/>
      <c r="I255" s="13"/>
    </row>
    <row r="256" spans="1:9">
      <c r="A256"/>
      <c r="B256"/>
      <c r="C256"/>
      <c r="D256"/>
      <c r="E256"/>
      <c r="F256"/>
      <c r="G256"/>
      <c r="H256"/>
      <c r="I256" s="13"/>
    </row>
    <row r="257" spans="1:9">
      <c r="A257"/>
      <c r="B257"/>
      <c r="C257"/>
      <c r="D257"/>
      <c r="E257"/>
      <c r="F257"/>
      <c r="G257"/>
      <c r="H257"/>
      <c r="I257" s="13"/>
    </row>
    <row r="258" spans="1:9">
      <c r="A258"/>
      <c r="B258"/>
      <c r="C258"/>
      <c r="D258"/>
      <c r="E258"/>
      <c r="F258"/>
      <c r="G258"/>
      <c r="H258"/>
      <c r="I258" s="13"/>
    </row>
    <row r="259" spans="1:9">
      <c r="A259"/>
      <c r="B259"/>
      <c r="C259"/>
      <c r="D259"/>
      <c r="E259"/>
      <c r="F259"/>
      <c r="G259"/>
      <c r="H259"/>
      <c r="I259" s="13"/>
    </row>
    <row r="260" spans="1:9">
      <c r="A260"/>
      <c r="B260"/>
      <c r="C260"/>
      <c r="D260"/>
      <c r="E260"/>
      <c r="F260"/>
      <c r="G260"/>
      <c r="H260"/>
      <c r="I260" s="13"/>
    </row>
    <row r="261" spans="1:9">
      <c r="A261"/>
      <c r="B261"/>
      <c r="C261"/>
      <c r="D261"/>
      <c r="E261"/>
      <c r="F261"/>
      <c r="G261"/>
      <c r="H261"/>
      <c r="I261" s="13"/>
    </row>
    <row r="262" spans="1:9">
      <c r="A262"/>
      <c r="B262"/>
      <c r="C262"/>
      <c r="D262"/>
      <c r="E262"/>
      <c r="F262"/>
      <c r="G262"/>
      <c r="H262"/>
      <c r="I262" s="13"/>
    </row>
    <row r="263" spans="1:9">
      <c r="A263"/>
      <c r="B263"/>
      <c r="C263"/>
      <c r="D263"/>
      <c r="E263"/>
      <c r="F263"/>
      <c r="G263"/>
      <c r="H263"/>
      <c r="I263" s="13"/>
    </row>
    <row r="264" spans="1:9">
      <c r="A264"/>
      <c r="B264"/>
      <c r="C264"/>
      <c r="D264"/>
      <c r="E264"/>
      <c r="F264"/>
      <c r="G264"/>
      <c r="H264"/>
      <c r="I264" s="13"/>
    </row>
    <row r="265" spans="1:9">
      <c r="A265"/>
      <c r="B265"/>
      <c r="C265"/>
      <c r="D265"/>
      <c r="E265"/>
      <c r="F265"/>
      <c r="G265"/>
      <c r="H265"/>
      <c r="I265" s="13"/>
    </row>
    <row r="266" spans="1:9">
      <c r="A266"/>
      <c r="B266"/>
      <c r="C266"/>
      <c r="D266"/>
      <c r="E266"/>
      <c r="F266"/>
      <c r="G266"/>
      <c r="H266"/>
      <c r="I266" s="13"/>
    </row>
    <row r="267" spans="1:9">
      <c r="A267"/>
      <c r="B267"/>
      <c r="C267"/>
      <c r="D267"/>
      <c r="E267"/>
      <c r="F267"/>
      <c r="G267"/>
      <c r="H267"/>
      <c r="I267" s="13"/>
    </row>
    <row r="268" spans="1:9">
      <c r="A268"/>
      <c r="B268"/>
      <c r="C268"/>
      <c r="D268"/>
      <c r="E268"/>
      <c r="F268"/>
      <c r="G268"/>
      <c r="H268"/>
      <c r="I268" s="13"/>
    </row>
    <row r="269" spans="1:9">
      <c r="A269"/>
      <c r="B269"/>
      <c r="C269"/>
      <c r="D269"/>
      <c r="E269"/>
      <c r="F269"/>
      <c r="G269"/>
      <c r="H269"/>
      <c r="I269" s="13"/>
    </row>
    <row r="270" spans="1:9">
      <c r="A270"/>
      <c r="B270"/>
      <c r="C270"/>
      <c r="D270"/>
      <c r="E270"/>
      <c r="F270"/>
      <c r="G270"/>
      <c r="H270"/>
      <c r="I270" s="13"/>
    </row>
  </sheetData>
  <sheetProtection sheet="1" objects="1" scenarios="1"/>
  <mergeCells count="42">
    <mergeCell ref="A35:B35"/>
    <mergeCell ref="A31:B31"/>
    <mergeCell ref="A32:B32"/>
    <mergeCell ref="A33:B33"/>
    <mergeCell ref="A34:B34"/>
    <mergeCell ref="C31:H31"/>
    <mergeCell ref="C1:I1"/>
    <mergeCell ref="H2:I2"/>
    <mergeCell ref="C3:I3"/>
    <mergeCell ref="C4:I4"/>
    <mergeCell ref="G5:H5"/>
    <mergeCell ref="A28:B28"/>
    <mergeCell ref="A29:B29"/>
    <mergeCell ref="A19:B19"/>
    <mergeCell ref="A20:B20"/>
    <mergeCell ref="A22:B22"/>
    <mergeCell ref="A23:B23"/>
    <mergeCell ref="A24:B24"/>
    <mergeCell ref="A25:B25"/>
    <mergeCell ref="A26:B26"/>
    <mergeCell ref="A27:B27"/>
    <mergeCell ref="A15:B15"/>
    <mergeCell ref="A16:B16"/>
    <mergeCell ref="A17:B17"/>
    <mergeCell ref="A14:B14"/>
    <mergeCell ref="A18:B18"/>
    <mergeCell ref="A36:B36"/>
    <mergeCell ref="C2:G2"/>
    <mergeCell ref="A30:B30"/>
    <mergeCell ref="A6:B6"/>
    <mergeCell ref="A21:B21"/>
    <mergeCell ref="A8:B8"/>
    <mergeCell ref="A9:B9"/>
    <mergeCell ref="A10:B10"/>
    <mergeCell ref="A11:B11"/>
    <mergeCell ref="A12:B12"/>
    <mergeCell ref="A2:B2"/>
    <mergeCell ref="A3:B3"/>
    <mergeCell ref="A4:B4"/>
    <mergeCell ref="A5:B5"/>
    <mergeCell ref="A7:B7"/>
    <mergeCell ref="A13:B13"/>
  </mergeCells>
  <phoneticPr fontId="12"/>
  <dataValidations count="1">
    <dataValidation type="decimal" allowBlank="1" showInputMessage="1" showErrorMessage="1" sqref="C2" xr:uid="{03972331-71E7-403D-AB6F-C9BCD216C85F}">
      <formula1>0</formula1>
      <formula2>100</formula2>
    </dataValidation>
  </dataValidations>
  <printOptions horizontalCentered="1"/>
  <pageMargins left="0.25" right="0.25" top="0.75" bottom="0.75" header="0.3" footer="0.3"/>
  <pageSetup paperSize="9"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Check Box 4">
              <controlPr defaultSize="0" autoFill="0" autoLine="0" autoPict="0" altText="">
                <anchor moveWithCells="1">
                  <from>
                    <xdr:col>2</xdr:col>
                    <xdr:colOff>15240</xdr:colOff>
                    <xdr:row>31</xdr:row>
                    <xdr:rowOff>0</xdr:rowOff>
                  </from>
                  <to>
                    <xdr:col>2</xdr:col>
                    <xdr:colOff>571500</xdr:colOff>
                    <xdr:row>31</xdr:row>
                    <xdr:rowOff>236220</xdr:rowOff>
                  </to>
                </anchor>
              </controlPr>
            </control>
          </mc:Choice>
        </mc:AlternateContent>
        <mc:AlternateContent xmlns:mc="http://schemas.openxmlformats.org/markup-compatibility/2006">
          <mc:Choice Requires="x14">
            <control shapeId="1029" r:id="rId5" name="Check Box 5">
              <controlPr defaultSize="0" autoFill="0" autoLine="0" autoPict="0">
                <anchor moveWithCells="1">
                  <from>
                    <xdr:col>3</xdr:col>
                    <xdr:colOff>15240</xdr:colOff>
                    <xdr:row>31</xdr:row>
                    <xdr:rowOff>0</xdr:rowOff>
                  </from>
                  <to>
                    <xdr:col>3</xdr:col>
                    <xdr:colOff>571500</xdr:colOff>
                    <xdr:row>31</xdr:row>
                    <xdr:rowOff>236220</xdr:rowOff>
                  </to>
                </anchor>
              </controlPr>
            </control>
          </mc:Choice>
        </mc:AlternateContent>
        <mc:AlternateContent xmlns:mc="http://schemas.openxmlformats.org/markup-compatibility/2006">
          <mc:Choice Requires="x14">
            <control shapeId="1030" r:id="rId6" name="Check Box 6">
              <controlPr defaultSize="0" autoFill="0" autoLine="0" autoPict="0">
                <anchor moveWithCells="1">
                  <from>
                    <xdr:col>4</xdr:col>
                    <xdr:colOff>15240</xdr:colOff>
                    <xdr:row>31</xdr:row>
                    <xdr:rowOff>0</xdr:rowOff>
                  </from>
                  <to>
                    <xdr:col>4</xdr:col>
                    <xdr:colOff>571500</xdr:colOff>
                    <xdr:row>31</xdr:row>
                    <xdr:rowOff>236220</xdr:rowOff>
                  </to>
                </anchor>
              </controlPr>
            </control>
          </mc:Choice>
        </mc:AlternateContent>
        <mc:AlternateContent xmlns:mc="http://schemas.openxmlformats.org/markup-compatibility/2006">
          <mc:Choice Requires="x14">
            <control shapeId="1031" r:id="rId7" name="Check Box 7">
              <controlPr defaultSize="0" autoFill="0" autoLine="0" autoPict="0">
                <anchor moveWithCells="1">
                  <from>
                    <xdr:col>5</xdr:col>
                    <xdr:colOff>15240</xdr:colOff>
                    <xdr:row>31</xdr:row>
                    <xdr:rowOff>0</xdr:rowOff>
                  </from>
                  <to>
                    <xdr:col>5</xdr:col>
                    <xdr:colOff>571500</xdr:colOff>
                    <xdr:row>31</xdr:row>
                    <xdr:rowOff>236220</xdr:rowOff>
                  </to>
                </anchor>
              </controlPr>
            </control>
          </mc:Choice>
        </mc:AlternateContent>
        <mc:AlternateContent xmlns:mc="http://schemas.openxmlformats.org/markup-compatibility/2006">
          <mc:Choice Requires="x14">
            <control shapeId="1032" r:id="rId8" name="Check Box 8">
              <controlPr defaultSize="0" autoFill="0" autoLine="0" autoPict="0">
                <anchor moveWithCells="1">
                  <from>
                    <xdr:col>3</xdr:col>
                    <xdr:colOff>15240</xdr:colOff>
                    <xdr:row>31</xdr:row>
                    <xdr:rowOff>0</xdr:rowOff>
                  </from>
                  <to>
                    <xdr:col>3</xdr:col>
                    <xdr:colOff>571500</xdr:colOff>
                    <xdr:row>31</xdr:row>
                    <xdr:rowOff>236220</xdr:rowOff>
                  </to>
                </anchor>
              </controlPr>
            </control>
          </mc:Choice>
        </mc:AlternateContent>
        <mc:AlternateContent xmlns:mc="http://schemas.openxmlformats.org/markup-compatibility/2006">
          <mc:Choice Requires="x14">
            <control shapeId="1033" r:id="rId9" name="Check Box 9">
              <controlPr defaultSize="0" autoFill="0" autoLine="0" autoPict="0">
                <anchor moveWithCells="1">
                  <from>
                    <xdr:col>4</xdr:col>
                    <xdr:colOff>15240</xdr:colOff>
                    <xdr:row>31</xdr:row>
                    <xdr:rowOff>0</xdr:rowOff>
                  </from>
                  <to>
                    <xdr:col>4</xdr:col>
                    <xdr:colOff>571500</xdr:colOff>
                    <xdr:row>31</xdr:row>
                    <xdr:rowOff>236220</xdr:rowOff>
                  </to>
                </anchor>
              </controlPr>
            </control>
          </mc:Choice>
        </mc:AlternateContent>
        <mc:AlternateContent xmlns:mc="http://schemas.openxmlformats.org/markup-compatibility/2006">
          <mc:Choice Requires="x14">
            <control shapeId="1034" r:id="rId10" name="Check Box 10">
              <controlPr defaultSize="0" autoFill="0" autoLine="0" autoPict="0">
                <anchor moveWithCells="1">
                  <from>
                    <xdr:col>5</xdr:col>
                    <xdr:colOff>15240</xdr:colOff>
                    <xdr:row>31</xdr:row>
                    <xdr:rowOff>0</xdr:rowOff>
                  </from>
                  <to>
                    <xdr:col>5</xdr:col>
                    <xdr:colOff>571500</xdr:colOff>
                    <xdr:row>31</xdr:row>
                    <xdr:rowOff>236220</xdr:rowOff>
                  </to>
                </anchor>
              </controlPr>
            </control>
          </mc:Choice>
        </mc:AlternateContent>
        <mc:AlternateContent xmlns:mc="http://schemas.openxmlformats.org/markup-compatibility/2006">
          <mc:Choice Requires="x14">
            <control shapeId="1035" r:id="rId11" name="Check Box 11">
              <controlPr defaultSize="0" autoFill="0" autoLine="0" autoPict="0">
                <anchor moveWithCells="1">
                  <from>
                    <xdr:col>2</xdr:col>
                    <xdr:colOff>22860</xdr:colOff>
                    <xdr:row>33</xdr:row>
                    <xdr:rowOff>7620</xdr:rowOff>
                  </from>
                  <to>
                    <xdr:col>2</xdr:col>
                    <xdr:colOff>708660</xdr:colOff>
                    <xdr:row>34</xdr:row>
                    <xdr:rowOff>0</xdr:rowOff>
                  </to>
                </anchor>
              </controlPr>
            </control>
          </mc:Choice>
        </mc:AlternateContent>
        <mc:AlternateContent xmlns:mc="http://schemas.openxmlformats.org/markup-compatibility/2006">
          <mc:Choice Requires="x14">
            <control shapeId="1097" r:id="rId12" name="Check Box 73">
              <controlPr defaultSize="0" autoFill="0" autoLine="0" autoPict="0" altText="">
                <anchor moveWithCells="1">
                  <from>
                    <xdr:col>2</xdr:col>
                    <xdr:colOff>15240</xdr:colOff>
                    <xdr:row>34</xdr:row>
                    <xdr:rowOff>0</xdr:rowOff>
                  </from>
                  <to>
                    <xdr:col>2</xdr:col>
                    <xdr:colOff>571500</xdr:colOff>
                    <xdr:row>35</xdr:row>
                    <xdr:rowOff>7620</xdr:rowOff>
                  </to>
                </anchor>
              </controlPr>
            </control>
          </mc:Choice>
        </mc:AlternateContent>
        <mc:AlternateContent xmlns:mc="http://schemas.openxmlformats.org/markup-compatibility/2006">
          <mc:Choice Requires="x14">
            <control shapeId="1098" r:id="rId13" name="Check Box 74">
              <controlPr defaultSize="0" autoFill="0" autoLine="0" autoPict="0">
                <anchor moveWithCells="1">
                  <from>
                    <xdr:col>3</xdr:col>
                    <xdr:colOff>15240</xdr:colOff>
                    <xdr:row>34</xdr:row>
                    <xdr:rowOff>0</xdr:rowOff>
                  </from>
                  <to>
                    <xdr:col>3</xdr:col>
                    <xdr:colOff>571500</xdr:colOff>
                    <xdr:row>35</xdr:row>
                    <xdr:rowOff>7620</xdr:rowOff>
                  </to>
                </anchor>
              </controlPr>
            </control>
          </mc:Choice>
        </mc:AlternateContent>
        <mc:AlternateContent xmlns:mc="http://schemas.openxmlformats.org/markup-compatibility/2006">
          <mc:Choice Requires="x14">
            <control shapeId="1099" r:id="rId14" name="Check Box 75">
              <controlPr defaultSize="0" autoFill="0" autoLine="0" autoPict="0">
                <anchor moveWithCells="1">
                  <from>
                    <xdr:col>4</xdr:col>
                    <xdr:colOff>15240</xdr:colOff>
                    <xdr:row>34</xdr:row>
                    <xdr:rowOff>0</xdr:rowOff>
                  </from>
                  <to>
                    <xdr:col>4</xdr:col>
                    <xdr:colOff>571500</xdr:colOff>
                    <xdr:row>35</xdr:row>
                    <xdr:rowOff>7620</xdr:rowOff>
                  </to>
                </anchor>
              </controlPr>
            </control>
          </mc:Choice>
        </mc:AlternateContent>
        <mc:AlternateContent xmlns:mc="http://schemas.openxmlformats.org/markup-compatibility/2006">
          <mc:Choice Requires="x14">
            <control shapeId="1100" r:id="rId15" name="Check Box 76">
              <controlPr defaultSize="0" autoFill="0" autoLine="0" autoPict="0">
                <anchor moveWithCells="1">
                  <from>
                    <xdr:col>5</xdr:col>
                    <xdr:colOff>15240</xdr:colOff>
                    <xdr:row>34</xdr:row>
                    <xdr:rowOff>0</xdr:rowOff>
                  </from>
                  <to>
                    <xdr:col>5</xdr:col>
                    <xdr:colOff>571500</xdr:colOff>
                    <xdr:row>35</xdr:row>
                    <xdr:rowOff>7620</xdr:rowOff>
                  </to>
                </anchor>
              </controlPr>
            </control>
          </mc:Choice>
        </mc:AlternateContent>
        <mc:AlternateContent xmlns:mc="http://schemas.openxmlformats.org/markup-compatibility/2006">
          <mc:Choice Requires="x14">
            <control shapeId="1101" r:id="rId16" name="Check Box 77">
              <controlPr defaultSize="0" autoFill="0" autoLine="0" autoPict="0">
                <anchor moveWithCells="1">
                  <from>
                    <xdr:col>3</xdr:col>
                    <xdr:colOff>15240</xdr:colOff>
                    <xdr:row>34</xdr:row>
                    <xdr:rowOff>0</xdr:rowOff>
                  </from>
                  <to>
                    <xdr:col>3</xdr:col>
                    <xdr:colOff>571500</xdr:colOff>
                    <xdr:row>35</xdr:row>
                    <xdr:rowOff>7620</xdr:rowOff>
                  </to>
                </anchor>
              </controlPr>
            </control>
          </mc:Choice>
        </mc:AlternateContent>
        <mc:AlternateContent xmlns:mc="http://schemas.openxmlformats.org/markup-compatibility/2006">
          <mc:Choice Requires="x14">
            <control shapeId="1102" r:id="rId17" name="Check Box 78">
              <controlPr defaultSize="0" autoFill="0" autoLine="0" autoPict="0">
                <anchor moveWithCells="1">
                  <from>
                    <xdr:col>4</xdr:col>
                    <xdr:colOff>15240</xdr:colOff>
                    <xdr:row>34</xdr:row>
                    <xdr:rowOff>0</xdr:rowOff>
                  </from>
                  <to>
                    <xdr:col>4</xdr:col>
                    <xdr:colOff>571500</xdr:colOff>
                    <xdr:row>35</xdr:row>
                    <xdr:rowOff>7620</xdr:rowOff>
                  </to>
                </anchor>
              </controlPr>
            </control>
          </mc:Choice>
        </mc:AlternateContent>
        <mc:AlternateContent xmlns:mc="http://schemas.openxmlformats.org/markup-compatibility/2006">
          <mc:Choice Requires="x14">
            <control shapeId="1103" r:id="rId18" name="Check Box 79">
              <controlPr defaultSize="0" autoFill="0" autoLine="0" autoPict="0">
                <anchor moveWithCells="1">
                  <from>
                    <xdr:col>5</xdr:col>
                    <xdr:colOff>15240</xdr:colOff>
                    <xdr:row>34</xdr:row>
                    <xdr:rowOff>0</xdr:rowOff>
                  </from>
                  <to>
                    <xdr:col>5</xdr:col>
                    <xdr:colOff>571500</xdr:colOff>
                    <xdr:row>35</xdr:row>
                    <xdr:rowOff>7620</xdr:rowOff>
                  </to>
                </anchor>
              </controlPr>
            </control>
          </mc:Choice>
        </mc:AlternateContent>
        <mc:AlternateContent xmlns:mc="http://schemas.openxmlformats.org/markup-compatibility/2006">
          <mc:Choice Requires="x14">
            <control shapeId="1119" r:id="rId19" name="Check Box 95">
              <controlPr defaultSize="0" autoFill="0" autoLine="0" autoPict="0" altText="">
                <anchor moveWithCells="1">
                  <from>
                    <xdr:col>2</xdr:col>
                    <xdr:colOff>15240</xdr:colOff>
                    <xdr:row>29</xdr:row>
                    <xdr:rowOff>0</xdr:rowOff>
                  </from>
                  <to>
                    <xdr:col>2</xdr:col>
                    <xdr:colOff>571500</xdr:colOff>
                    <xdr:row>29</xdr:row>
                    <xdr:rowOff>236220</xdr:rowOff>
                  </to>
                </anchor>
              </controlPr>
            </control>
          </mc:Choice>
        </mc:AlternateContent>
        <mc:AlternateContent xmlns:mc="http://schemas.openxmlformats.org/markup-compatibility/2006">
          <mc:Choice Requires="x14">
            <control shapeId="1120" r:id="rId20" name="Check Box 96">
              <controlPr defaultSize="0" autoFill="0" autoLine="0" autoPict="0">
                <anchor moveWithCells="1">
                  <from>
                    <xdr:col>3</xdr:col>
                    <xdr:colOff>15240</xdr:colOff>
                    <xdr:row>29</xdr:row>
                    <xdr:rowOff>0</xdr:rowOff>
                  </from>
                  <to>
                    <xdr:col>3</xdr:col>
                    <xdr:colOff>571500</xdr:colOff>
                    <xdr:row>29</xdr:row>
                    <xdr:rowOff>236220</xdr:rowOff>
                  </to>
                </anchor>
              </controlPr>
            </control>
          </mc:Choice>
        </mc:AlternateContent>
        <mc:AlternateContent xmlns:mc="http://schemas.openxmlformats.org/markup-compatibility/2006">
          <mc:Choice Requires="x14">
            <control shapeId="1121" r:id="rId21" name="Check Box 97">
              <controlPr defaultSize="0" autoFill="0" autoLine="0" autoPict="0">
                <anchor moveWithCells="1">
                  <from>
                    <xdr:col>4</xdr:col>
                    <xdr:colOff>15240</xdr:colOff>
                    <xdr:row>29</xdr:row>
                    <xdr:rowOff>0</xdr:rowOff>
                  </from>
                  <to>
                    <xdr:col>4</xdr:col>
                    <xdr:colOff>571500</xdr:colOff>
                    <xdr:row>29</xdr:row>
                    <xdr:rowOff>236220</xdr:rowOff>
                  </to>
                </anchor>
              </controlPr>
            </control>
          </mc:Choice>
        </mc:AlternateContent>
        <mc:AlternateContent xmlns:mc="http://schemas.openxmlformats.org/markup-compatibility/2006">
          <mc:Choice Requires="x14">
            <control shapeId="1122" r:id="rId22" name="Check Box 98">
              <controlPr defaultSize="0" autoFill="0" autoLine="0" autoPict="0">
                <anchor moveWithCells="1">
                  <from>
                    <xdr:col>5</xdr:col>
                    <xdr:colOff>15240</xdr:colOff>
                    <xdr:row>29</xdr:row>
                    <xdr:rowOff>0</xdr:rowOff>
                  </from>
                  <to>
                    <xdr:col>5</xdr:col>
                    <xdr:colOff>571500</xdr:colOff>
                    <xdr:row>29</xdr:row>
                    <xdr:rowOff>236220</xdr:rowOff>
                  </to>
                </anchor>
              </controlPr>
            </control>
          </mc:Choice>
        </mc:AlternateContent>
        <mc:AlternateContent xmlns:mc="http://schemas.openxmlformats.org/markup-compatibility/2006">
          <mc:Choice Requires="x14">
            <control shapeId="1123" r:id="rId23" name="Check Box 99">
              <controlPr defaultSize="0" autoFill="0" autoLine="0" autoPict="0">
                <anchor moveWithCells="1">
                  <from>
                    <xdr:col>3</xdr:col>
                    <xdr:colOff>15240</xdr:colOff>
                    <xdr:row>29</xdr:row>
                    <xdr:rowOff>0</xdr:rowOff>
                  </from>
                  <to>
                    <xdr:col>3</xdr:col>
                    <xdr:colOff>571500</xdr:colOff>
                    <xdr:row>29</xdr:row>
                    <xdr:rowOff>236220</xdr:rowOff>
                  </to>
                </anchor>
              </controlPr>
            </control>
          </mc:Choice>
        </mc:AlternateContent>
        <mc:AlternateContent xmlns:mc="http://schemas.openxmlformats.org/markup-compatibility/2006">
          <mc:Choice Requires="x14">
            <control shapeId="1124" r:id="rId24" name="Check Box 100">
              <controlPr defaultSize="0" autoFill="0" autoLine="0" autoPict="0">
                <anchor moveWithCells="1">
                  <from>
                    <xdr:col>4</xdr:col>
                    <xdr:colOff>15240</xdr:colOff>
                    <xdr:row>29</xdr:row>
                    <xdr:rowOff>0</xdr:rowOff>
                  </from>
                  <to>
                    <xdr:col>4</xdr:col>
                    <xdr:colOff>571500</xdr:colOff>
                    <xdr:row>29</xdr:row>
                    <xdr:rowOff>236220</xdr:rowOff>
                  </to>
                </anchor>
              </controlPr>
            </control>
          </mc:Choice>
        </mc:AlternateContent>
        <mc:AlternateContent xmlns:mc="http://schemas.openxmlformats.org/markup-compatibility/2006">
          <mc:Choice Requires="x14">
            <control shapeId="1125" r:id="rId25" name="Check Box 101">
              <controlPr defaultSize="0" autoFill="0" autoLine="0" autoPict="0">
                <anchor moveWithCells="1">
                  <from>
                    <xdr:col>5</xdr:col>
                    <xdr:colOff>15240</xdr:colOff>
                    <xdr:row>29</xdr:row>
                    <xdr:rowOff>0</xdr:rowOff>
                  </from>
                  <to>
                    <xdr:col>5</xdr:col>
                    <xdr:colOff>571500</xdr:colOff>
                    <xdr:row>29</xdr:row>
                    <xdr:rowOff>236220</xdr:rowOff>
                  </to>
                </anchor>
              </controlPr>
            </control>
          </mc:Choice>
        </mc:AlternateContent>
        <mc:AlternateContent xmlns:mc="http://schemas.openxmlformats.org/markup-compatibility/2006">
          <mc:Choice Requires="x14">
            <control shapeId="1127" r:id="rId26" name="Check Box 103">
              <controlPr defaultSize="0" autoFill="0" autoLine="0" autoPict="0" altText="">
                <anchor moveWithCells="1">
                  <from>
                    <xdr:col>2</xdr:col>
                    <xdr:colOff>15240</xdr:colOff>
                    <xdr:row>35</xdr:row>
                    <xdr:rowOff>0</xdr:rowOff>
                  </from>
                  <to>
                    <xdr:col>2</xdr:col>
                    <xdr:colOff>571500</xdr:colOff>
                    <xdr:row>36</xdr:row>
                    <xdr:rowOff>0</xdr:rowOff>
                  </to>
                </anchor>
              </controlPr>
            </control>
          </mc:Choice>
        </mc:AlternateContent>
        <mc:AlternateContent xmlns:mc="http://schemas.openxmlformats.org/markup-compatibility/2006">
          <mc:Choice Requires="x14">
            <control shapeId="1128" r:id="rId27" name="Check Box 104">
              <controlPr defaultSize="0" autoFill="0" autoLine="0" autoPict="0">
                <anchor moveWithCells="1">
                  <from>
                    <xdr:col>3</xdr:col>
                    <xdr:colOff>15240</xdr:colOff>
                    <xdr:row>35</xdr:row>
                    <xdr:rowOff>0</xdr:rowOff>
                  </from>
                  <to>
                    <xdr:col>3</xdr:col>
                    <xdr:colOff>571500</xdr:colOff>
                    <xdr:row>36</xdr:row>
                    <xdr:rowOff>0</xdr:rowOff>
                  </to>
                </anchor>
              </controlPr>
            </control>
          </mc:Choice>
        </mc:AlternateContent>
        <mc:AlternateContent xmlns:mc="http://schemas.openxmlformats.org/markup-compatibility/2006">
          <mc:Choice Requires="x14">
            <control shapeId="1129" r:id="rId28" name="Check Box 105">
              <controlPr defaultSize="0" autoFill="0" autoLine="0" autoPict="0">
                <anchor moveWithCells="1">
                  <from>
                    <xdr:col>3</xdr:col>
                    <xdr:colOff>15240</xdr:colOff>
                    <xdr:row>35</xdr:row>
                    <xdr:rowOff>0</xdr:rowOff>
                  </from>
                  <to>
                    <xdr:col>3</xdr:col>
                    <xdr:colOff>571500</xdr:colOff>
                    <xdr:row>36</xdr:row>
                    <xdr:rowOff>0</xdr:rowOff>
                  </to>
                </anchor>
              </controlPr>
            </control>
          </mc:Choice>
        </mc:AlternateContent>
        <mc:AlternateContent xmlns:mc="http://schemas.openxmlformats.org/markup-compatibility/2006">
          <mc:Choice Requires="x14">
            <control shapeId="1130" r:id="rId29" name="Check Box 106">
              <controlPr defaultSize="0" autoFill="0" autoLine="0" autoPict="0">
                <anchor moveWithCells="1">
                  <from>
                    <xdr:col>4</xdr:col>
                    <xdr:colOff>15240</xdr:colOff>
                    <xdr:row>35</xdr:row>
                    <xdr:rowOff>0</xdr:rowOff>
                  </from>
                  <to>
                    <xdr:col>4</xdr:col>
                    <xdr:colOff>571500</xdr:colOff>
                    <xdr:row>36</xdr:row>
                    <xdr:rowOff>0</xdr:rowOff>
                  </to>
                </anchor>
              </controlPr>
            </control>
          </mc:Choice>
        </mc:AlternateContent>
        <mc:AlternateContent xmlns:mc="http://schemas.openxmlformats.org/markup-compatibility/2006">
          <mc:Choice Requires="x14">
            <control shapeId="1131" r:id="rId30" name="Check Box 107">
              <controlPr defaultSize="0" autoFill="0" autoLine="0" autoPict="0">
                <anchor moveWithCells="1">
                  <from>
                    <xdr:col>4</xdr:col>
                    <xdr:colOff>15240</xdr:colOff>
                    <xdr:row>35</xdr:row>
                    <xdr:rowOff>0</xdr:rowOff>
                  </from>
                  <to>
                    <xdr:col>4</xdr:col>
                    <xdr:colOff>571500</xdr:colOff>
                    <xdr:row>36</xdr:row>
                    <xdr:rowOff>0</xdr:rowOff>
                  </to>
                </anchor>
              </controlPr>
            </control>
          </mc:Choice>
        </mc:AlternateContent>
        <mc:AlternateContent xmlns:mc="http://schemas.openxmlformats.org/markup-compatibility/2006">
          <mc:Choice Requires="x14">
            <control shapeId="1132" r:id="rId31" name="Check Box 108">
              <controlPr defaultSize="0" autoFill="0" autoLine="0" autoPict="0">
                <anchor moveWithCells="1">
                  <from>
                    <xdr:col>5</xdr:col>
                    <xdr:colOff>15240</xdr:colOff>
                    <xdr:row>35</xdr:row>
                    <xdr:rowOff>0</xdr:rowOff>
                  </from>
                  <to>
                    <xdr:col>5</xdr:col>
                    <xdr:colOff>571500</xdr:colOff>
                    <xdr:row>36</xdr:row>
                    <xdr:rowOff>0</xdr:rowOff>
                  </to>
                </anchor>
              </controlPr>
            </control>
          </mc:Choice>
        </mc:AlternateContent>
        <mc:AlternateContent xmlns:mc="http://schemas.openxmlformats.org/markup-compatibility/2006">
          <mc:Choice Requires="x14">
            <control shapeId="1133" r:id="rId32" name="Check Box 109">
              <controlPr defaultSize="0" autoFill="0" autoLine="0" autoPict="0">
                <anchor moveWithCells="1">
                  <from>
                    <xdr:col>5</xdr:col>
                    <xdr:colOff>15240</xdr:colOff>
                    <xdr:row>35</xdr:row>
                    <xdr:rowOff>0</xdr:rowOff>
                  </from>
                  <to>
                    <xdr:col>5</xdr:col>
                    <xdr:colOff>571500</xdr:colOff>
                    <xdr:row>36</xdr:row>
                    <xdr:rowOff>0</xdr:rowOff>
                  </to>
                </anchor>
              </controlPr>
            </control>
          </mc:Choice>
        </mc:AlternateContent>
        <mc:AlternateContent xmlns:mc="http://schemas.openxmlformats.org/markup-compatibility/2006">
          <mc:Choice Requires="x14">
            <control shapeId="1136" r:id="rId33" name="Check Box 112">
              <controlPr defaultSize="0" autoFill="0" autoLine="0" autoPict="0">
                <anchor moveWithCells="1">
                  <from>
                    <xdr:col>3</xdr:col>
                    <xdr:colOff>22860</xdr:colOff>
                    <xdr:row>33</xdr:row>
                    <xdr:rowOff>7620</xdr:rowOff>
                  </from>
                  <to>
                    <xdr:col>4</xdr:col>
                    <xdr:colOff>7620</xdr:colOff>
                    <xdr:row>33</xdr:row>
                    <xdr:rowOff>228600</xdr:rowOff>
                  </to>
                </anchor>
              </controlPr>
            </control>
          </mc:Choice>
        </mc:AlternateContent>
        <mc:AlternateContent xmlns:mc="http://schemas.openxmlformats.org/markup-compatibility/2006">
          <mc:Choice Requires="x14">
            <control shapeId="1137" r:id="rId34" name="Check Box 113">
              <controlPr defaultSize="0" autoFill="0" autoLine="0" autoPict="0">
                <anchor moveWithCells="1">
                  <from>
                    <xdr:col>4</xdr:col>
                    <xdr:colOff>22860</xdr:colOff>
                    <xdr:row>33</xdr:row>
                    <xdr:rowOff>0</xdr:rowOff>
                  </from>
                  <to>
                    <xdr:col>4</xdr:col>
                    <xdr:colOff>716280</xdr:colOff>
                    <xdr:row>33</xdr:row>
                    <xdr:rowOff>228600</xdr:rowOff>
                  </to>
                </anchor>
              </controlPr>
            </control>
          </mc:Choice>
        </mc:AlternateContent>
        <mc:AlternateContent xmlns:mc="http://schemas.openxmlformats.org/markup-compatibility/2006">
          <mc:Choice Requires="x14">
            <control shapeId="1138" r:id="rId35" name="Check Box 114">
              <controlPr defaultSize="0" autoFill="0" autoLine="0" autoPict="0">
                <anchor moveWithCells="1">
                  <from>
                    <xdr:col>5</xdr:col>
                    <xdr:colOff>22860</xdr:colOff>
                    <xdr:row>33</xdr:row>
                    <xdr:rowOff>7620</xdr:rowOff>
                  </from>
                  <to>
                    <xdr:col>5</xdr:col>
                    <xdr:colOff>716280</xdr:colOff>
                    <xdr:row>33</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F5225-1C87-4289-B669-169318E0AEC9}">
  <sheetPr codeName="Sheet5"/>
  <dimension ref="A1:N38"/>
  <sheetViews>
    <sheetView zoomScaleNormal="100" workbookViewId="0">
      <selection sqref="A1:I1"/>
    </sheetView>
  </sheetViews>
  <sheetFormatPr defaultColWidth="9.59765625" defaultRowHeight="18"/>
  <cols>
    <col min="1" max="8" width="9.59765625" style="14"/>
    <col min="9" max="9" width="9.59765625" style="15"/>
    <col min="11" max="11" width="9.59765625" style="186"/>
    <col min="12" max="12" width="7.296875" style="186" customWidth="1"/>
    <col min="13" max="13" width="20.59765625" style="201" customWidth="1"/>
    <col min="14" max="14" width="4.69921875" style="201" customWidth="1"/>
  </cols>
  <sheetData>
    <row r="1" spans="1:14" ht="18.600000000000001" thickBot="1">
      <c r="A1" s="440" t="s">
        <v>54</v>
      </c>
      <c r="B1" s="441"/>
      <c r="C1" s="442"/>
      <c r="D1" s="441"/>
      <c r="E1" s="441"/>
      <c r="F1" s="442"/>
      <c r="G1" s="441"/>
      <c r="H1" s="441"/>
      <c r="I1" s="443"/>
      <c r="K1" s="202" t="s">
        <v>56</v>
      </c>
      <c r="M1" s="200" t="s">
        <v>30</v>
      </c>
      <c r="N1" s="200"/>
    </row>
    <row r="2" spans="1:14" ht="18.600000000000001" thickTop="1">
      <c r="A2" s="448" t="s">
        <v>72</v>
      </c>
      <c r="B2" s="445"/>
      <c r="C2" s="55"/>
      <c r="D2" s="444" t="s">
        <v>83</v>
      </c>
      <c r="E2" s="445"/>
      <c r="F2" s="55"/>
      <c r="G2" s="444" t="s">
        <v>79</v>
      </c>
      <c r="H2" s="445"/>
      <c r="I2" s="151"/>
      <c r="K2" s="186" t="s">
        <v>154</v>
      </c>
      <c r="L2" s="186" t="s">
        <v>155</v>
      </c>
      <c r="M2" s="201" t="s">
        <v>154</v>
      </c>
      <c r="N2" s="201" t="s">
        <v>155</v>
      </c>
    </row>
    <row r="3" spans="1:14" ht="18.600000000000001" thickBot="1">
      <c r="A3" s="449" t="s">
        <v>73</v>
      </c>
      <c r="B3" s="450"/>
      <c r="C3" s="167"/>
      <c r="D3" s="446" t="s">
        <v>77</v>
      </c>
      <c r="E3" s="447"/>
      <c r="F3" s="148"/>
      <c r="G3" s="446" t="s">
        <v>76</v>
      </c>
      <c r="H3" s="447"/>
      <c r="I3" s="54"/>
      <c r="K3" s="186" t="s">
        <v>72</v>
      </c>
      <c r="L3" s="186">
        <f>C2</f>
        <v>0</v>
      </c>
      <c r="M3" s="201" t="s">
        <v>193</v>
      </c>
      <c r="N3" s="201">
        <v>600</v>
      </c>
    </row>
    <row r="4" spans="1:14" ht="19.2" thickTop="1" thickBot="1">
      <c r="A4" s="170" t="s">
        <v>81</v>
      </c>
      <c r="B4" s="189" t="b">
        <v>1</v>
      </c>
      <c r="C4" s="188">
        <f>IF(B4, 物件概要!G7)</f>
        <v>46</v>
      </c>
      <c r="D4" s="446" t="s">
        <v>86</v>
      </c>
      <c r="E4" s="447"/>
      <c r="F4" s="148"/>
      <c r="G4" s="446" t="s">
        <v>167</v>
      </c>
      <c r="H4" s="447"/>
      <c r="I4" s="54"/>
      <c r="K4" s="186" t="s">
        <v>73</v>
      </c>
      <c r="L4" s="186">
        <f>C3</f>
        <v>0</v>
      </c>
      <c r="M4" s="201" t="s">
        <v>194</v>
      </c>
      <c r="N4" s="201">
        <v>1800</v>
      </c>
    </row>
    <row r="5" spans="1:14" ht="18.600000000000001" thickTop="1">
      <c r="A5" s="427" t="s">
        <v>116</v>
      </c>
      <c r="B5" s="428"/>
      <c r="C5" s="169"/>
      <c r="D5" s="451" t="s">
        <v>117</v>
      </c>
      <c r="E5" s="432"/>
      <c r="F5" s="149"/>
      <c r="G5" s="451" t="s">
        <v>128</v>
      </c>
      <c r="H5" s="430"/>
      <c r="I5" s="54"/>
      <c r="K5" s="186" t="s">
        <v>163</v>
      </c>
      <c r="L5" s="187">
        <f>C4</f>
        <v>46</v>
      </c>
      <c r="M5" s="201" t="s">
        <v>195</v>
      </c>
      <c r="N5" s="201">
        <v>600</v>
      </c>
    </row>
    <row r="6" spans="1:14">
      <c r="A6" s="429" t="s">
        <v>118</v>
      </c>
      <c r="B6" s="430"/>
      <c r="C6" s="150"/>
      <c r="D6" s="451" t="s">
        <v>119</v>
      </c>
      <c r="E6" s="430"/>
      <c r="F6" s="150"/>
      <c r="G6" s="451" t="s">
        <v>120</v>
      </c>
      <c r="H6" s="430"/>
      <c r="I6" s="150"/>
      <c r="K6" s="186" t="s">
        <v>116</v>
      </c>
      <c r="L6" s="186">
        <f>C5</f>
        <v>0</v>
      </c>
      <c r="M6" s="201" t="s">
        <v>196</v>
      </c>
      <c r="N6" s="201">
        <v>1900</v>
      </c>
    </row>
    <row r="7" spans="1:14">
      <c r="A7" s="429" t="s">
        <v>121</v>
      </c>
      <c r="B7" s="430"/>
      <c r="C7" s="150"/>
      <c r="D7" s="451" t="s">
        <v>122</v>
      </c>
      <c r="E7" s="430"/>
      <c r="F7" s="150"/>
      <c r="G7" s="451" t="s">
        <v>123</v>
      </c>
      <c r="H7" s="430"/>
      <c r="I7" s="150"/>
      <c r="K7" s="186" t="s">
        <v>164</v>
      </c>
      <c r="L7" s="186">
        <f>C7</f>
        <v>0</v>
      </c>
      <c r="M7" s="201" t="s">
        <v>197</v>
      </c>
      <c r="N7" s="201">
        <v>950</v>
      </c>
    </row>
    <row r="8" spans="1:14">
      <c r="A8" s="429" t="s">
        <v>124</v>
      </c>
      <c r="B8" s="430"/>
      <c r="C8" s="150"/>
      <c r="D8" s="451" t="s">
        <v>84</v>
      </c>
      <c r="E8" s="430"/>
      <c r="F8" s="150"/>
      <c r="G8" s="451" t="s">
        <v>129</v>
      </c>
      <c r="H8" s="430"/>
      <c r="I8" s="150"/>
      <c r="K8" s="186" t="s">
        <v>165</v>
      </c>
      <c r="L8" s="186">
        <f>F7</f>
        <v>0</v>
      </c>
      <c r="M8" s="201" t="s">
        <v>198</v>
      </c>
      <c r="N8" s="201">
        <v>150</v>
      </c>
    </row>
    <row r="9" spans="1:14" ht="18.600000000000001" thickBot="1">
      <c r="A9" s="429" t="s">
        <v>125</v>
      </c>
      <c r="B9" s="430"/>
      <c r="C9" s="167"/>
      <c r="D9" s="451" t="s">
        <v>127</v>
      </c>
      <c r="E9" s="430"/>
      <c r="F9" s="167"/>
      <c r="G9" s="451" t="s">
        <v>126</v>
      </c>
      <c r="H9" s="430"/>
      <c r="I9" s="168"/>
      <c r="K9" s="186" t="s">
        <v>166</v>
      </c>
      <c r="L9" s="186">
        <f>I7</f>
        <v>0</v>
      </c>
      <c r="M9" s="201" t="s">
        <v>199</v>
      </c>
      <c r="N9" s="201">
        <v>200</v>
      </c>
    </row>
    <row r="10" spans="1:14" ht="18.600000000000001" thickTop="1">
      <c r="A10" s="433" t="s">
        <v>85</v>
      </c>
      <c r="B10" s="432"/>
      <c r="C10" s="166"/>
      <c r="D10" s="434" t="s">
        <v>85</v>
      </c>
      <c r="E10" s="432"/>
      <c r="F10" s="166"/>
      <c r="G10" s="434" t="s">
        <v>85</v>
      </c>
      <c r="H10" s="432"/>
      <c r="I10" s="162"/>
      <c r="K10" s="186" t="s">
        <v>79</v>
      </c>
      <c r="L10" s="186">
        <f>I2</f>
        <v>0</v>
      </c>
      <c r="M10" s="201" t="s">
        <v>200</v>
      </c>
      <c r="N10" s="201">
        <v>175</v>
      </c>
    </row>
    <row r="11" spans="1:14">
      <c r="A11" s="433" t="s">
        <v>85</v>
      </c>
      <c r="B11" s="432"/>
      <c r="C11" s="144"/>
      <c r="D11" s="434" t="s">
        <v>85</v>
      </c>
      <c r="E11" s="432"/>
      <c r="F11" s="144"/>
      <c r="G11" s="434" t="s">
        <v>85</v>
      </c>
      <c r="H11" s="432"/>
      <c r="I11" s="29"/>
      <c r="K11" s="186" t="s">
        <v>76</v>
      </c>
      <c r="L11" s="186">
        <f>I3</f>
        <v>0</v>
      </c>
      <c r="M11" s="201" t="s">
        <v>201</v>
      </c>
      <c r="N11" s="201">
        <v>600</v>
      </c>
    </row>
    <row r="12" spans="1:14">
      <c r="A12" s="431" t="s">
        <v>85</v>
      </c>
      <c r="B12" s="432"/>
      <c r="C12" s="146"/>
      <c r="D12" s="434" t="s">
        <v>85</v>
      </c>
      <c r="E12" s="432"/>
      <c r="F12" s="146"/>
      <c r="G12" s="434" t="s">
        <v>85</v>
      </c>
      <c r="H12" s="432"/>
      <c r="I12" s="171"/>
      <c r="K12" s="186" t="s">
        <v>167</v>
      </c>
      <c r="L12" s="186">
        <f>I4</f>
        <v>0</v>
      </c>
      <c r="M12" s="201" t="s">
        <v>202</v>
      </c>
      <c r="N12" s="201">
        <v>600</v>
      </c>
    </row>
    <row r="13" spans="1:14" ht="23.55" customHeight="1">
      <c r="A13" s="452" t="s">
        <v>87</v>
      </c>
      <c r="B13" s="453"/>
      <c r="C13" s="454"/>
      <c r="D13" s="453"/>
      <c r="E13" s="453"/>
      <c r="F13" s="454"/>
      <c r="G13" s="453"/>
      <c r="H13" s="453"/>
      <c r="I13" s="455"/>
      <c r="K13" s="186" t="s">
        <v>125</v>
      </c>
      <c r="L13" s="186">
        <f>C9</f>
        <v>0</v>
      </c>
      <c r="M13" s="201" t="s">
        <v>204</v>
      </c>
      <c r="N13" s="201">
        <v>380</v>
      </c>
    </row>
    <row r="14" spans="1:14">
      <c r="A14" s="472" t="s">
        <v>88</v>
      </c>
      <c r="B14" s="473"/>
      <c r="C14" s="473"/>
      <c r="D14" s="473"/>
      <c r="E14" s="473"/>
      <c r="F14" s="473"/>
      <c r="G14" s="474"/>
      <c r="H14" s="475" t="s">
        <v>151</v>
      </c>
      <c r="I14" s="476"/>
      <c r="K14" s="186" t="s">
        <v>127</v>
      </c>
      <c r="L14" s="186">
        <f>F9</f>
        <v>0</v>
      </c>
      <c r="M14" s="201" t="s">
        <v>205</v>
      </c>
      <c r="N14" s="201">
        <v>480</v>
      </c>
    </row>
    <row r="15" spans="1:14" ht="18.600000000000001" thickBot="1">
      <c r="A15" s="437" t="s">
        <v>93</v>
      </c>
      <c r="B15" s="435"/>
      <c r="C15" s="78" t="s">
        <v>90</v>
      </c>
      <c r="D15" s="78" t="s">
        <v>91</v>
      </c>
      <c r="E15" s="16" t="s">
        <v>92</v>
      </c>
      <c r="F15" s="16"/>
      <c r="G15" s="78" t="s">
        <v>90</v>
      </c>
      <c r="H15" s="78" t="s">
        <v>113</v>
      </c>
      <c r="I15" s="161" t="s">
        <v>114</v>
      </c>
      <c r="K15" s="186" t="s">
        <v>168</v>
      </c>
      <c r="L15" s="186">
        <f>I9</f>
        <v>0</v>
      </c>
      <c r="M15" s="201" t="s">
        <v>206</v>
      </c>
      <c r="N15" s="201">
        <v>380</v>
      </c>
    </row>
    <row r="16" spans="1:14" ht="18.600000000000001" thickTop="1">
      <c r="A16" s="371" t="s">
        <v>94</v>
      </c>
      <c r="B16" s="372"/>
      <c r="C16" s="152"/>
      <c r="D16" s="153"/>
      <c r="E16" s="84">
        <f t="shared" ref="E16:E25" si="0">SUM(C16*D16)</f>
        <v>0</v>
      </c>
      <c r="F16" s="156" t="s">
        <v>104</v>
      </c>
      <c r="G16" s="152"/>
      <c r="H16" s="157"/>
      <c r="I16" s="158"/>
      <c r="K16" s="186" t="s">
        <v>186</v>
      </c>
      <c r="L16" s="186">
        <f>SUM(E16:E25)</f>
        <v>0</v>
      </c>
      <c r="M16" s="201" t="s">
        <v>207</v>
      </c>
      <c r="N16" s="201">
        <v>480</v>
      </c>
    </row>
    <row r="17" spans="1:14">
      <c r="A17" s="371" t="s">
        <v>95</v>
      </c>
      <c r="B17" s="372"/>
      <c r="C17" s="70"/>
      <c r="D17" s="67"/>
      <c r="E17" s="84">
        <f t="shared" si="0"/>
        <v>0</v>
      </c>
      <c r="F17" s="156" t="s">
        <v>105</v>
      </c>
      <c r="G17" s="70"/>
      <c r="H17" s="22"/>
      <c r="I17" s="145"/>
      <c r="K17" s="186" t="s">
        <v>113</v>
      </c>
      <c r="L17" s="186">
        <f>SUM(H16:H24)</f>
        <v>0</v>
      </c>
      <c r="M17" s="201" t="s">
        <v>203</v>
      </c>
      <c r="N17" s="201">
        <v>450</v>
      </c>
    </row>
    <row r="18" spans="1:14">
      <c r="A18" s="371" t="s">
        <v>96</v>
      </c>
      <c r="B18" s="372"/>
      <c r="C18" s="70"/>
      <c r="D18" s="67"/>
      <c r="E18" s="84">
        <f t="shared" si="0"/>
        <v>0</v>
      </c>
      <c r="F18" s="156" t="s">
        <v>106</v>
      </c>
      <c r="G18" s="70"/>
      <c r="H18" s="22"/>
      <c r="I18" s="145"/>
      <c r="K18" s="186" t="s">
        <v>187</v>
      </c>
      <c r="L18" s="186">
        <f>G25</f>
        <v>0</v>
      </c>
      <c r="M18" s="201" t="s">
        <v>208</v>
      </c>
      <c r="N18" s="201">
        <v>630</v>
      </c>
    </row>
    <row r="19" spans="1:14">
      <c r="A19" s="371" t="s">
        <v>97</v>
      </c>
      <c r="B19" s="372"/>
      <c r="C19" s="70"/>
      <c r="D19" s="67"/>
      <c r="E19" s="84">
        <f t="shared" si="0"/>
        <v>0</v>
      </c>
      <c r="F19" s="156" t="s">
        <v>107</v>
      </c>
      <c r="G19" s="70"/>
      <c r="H19" s="22"/>
      <c r="I19" s="145"/>
      <c r="K19" s="186" t="s">
        <v>169</v>
      </c>
      <c r="L19" s="186">
        <f>C27</f>
        <v>0</v>
      </c>
      <c r="M19" s="201" t="s">
        <v>209</v>
      </c>
      <c r="N19" s="201">
        <v>550</v>
      </c>
    </row>
    <row r="20" spans="1:14">
      <c r="A20" s="371" t="s">
        <v>98</v>
      </c>
      <c r="B20" s="372"/>
      <c r="C20" s="70"/>
      <c r="D20" s="67"/>
      <c r="E20" s="84">
        <f t="shared" si="0"/>
        <v>0</v>
      </c>
      <c r="F20" s="156" t="s">
        <v>108</v>
      </c>
      <c r="G20" s="70"/>
      <c r="H20" s="22"/>
      <c r="I20" s="145"/>
      <c r="K20" s="186" t="s">
        <v>170</v>
      </c>
      <c r="L20" s="186">
        <f>F27</f>
        <v>0</v>
      </c>
      <c r="M20" s="201" t="s">
        <v>210</v>
      </c>
      <c r="N20" s="201">
        <v>2100</v>
      </c>
    </row>
    <row r="21" spans="1:14">
      <c r="A21" s="371" t="s">
        <v>99</v>
      </c>
      <c r="B21" s="372"/>
      <c r="C21" s="70"/>
      <c r="D21" s="67"/>
      <c r="E21" s="84">
        <f t="shared" si="0"/>
        <v>0</v>
      </c>
      <c r="F21" s="156" t="s">
        <v>109</v>
      </c>
      <c r="G21" s="70"/>
      <c r="H21" s="22"/>
      <c r="I21" s="145"/>
      <c r="K21" s="186" t="s">
        <v>171</v>
      </c>
      <c r="L21" s="186">
        <f>I27</f>
        <v>0</v>
      </c>
      <c r="M21" s="201" t="s">
        <v>211</v>
      </c>
      <c r="N21" s="201">
        <v>680</v>
      </c>
    </row>
    <row r="22" spans="1:14">
      <c r="A22" s="371" t="s">
        <v>100</v>
      </c>
      <c r="B22" s="372"/>
      <c r="C22" s="70"/>
      <c r="D22" s="67"/>
      <c r="E22" s="84">
        <f t="shared" si="0"/>
        <v>0</v>
      </c>
      <c r="F22" s="156" t="s">
        <v>110</v>
      </c>
      <c r="G22" s="70"/>
      <c r="H22" s="22"/>
      <c r="I22" s="145"/>
      <c r="K22" s="186" t="s">
        <v>172</v>
      </c>
      <c r="L22" s="186">
        <f>C28</f>
        <v>0</v>
      </c>
      <c r="M22" s="201" t="s">
        <v>212</v>
      </c>
      <c r="N22" s="201">
        <v>490</v>
      </c>
    </row>
    <row r="23" spans="1:14">
      <c r="A23" s="371" t="s">
        <v>101</v>
      </c>
      <c r="B23" s="372"/>
      <c r="C23" s="70"/>
      <c r="D23" s="67"/>
      <c r="E23" s="84">
        <f t="shared" si="0"/>
        <v>0</v>
      </c>
      <c r="F23" s="156" t="s">
        <v>111</v>
      </c>
      <c r="G23" s="70"/>
      <c r="H23" s="22"/>
      <c r="I23" s="145"/>
      <c r="K23" s="186" t="s">
        <v>173</v>
      </c>
      <c r="L23" s="186">
        <f>F28</f>
        <v>0</v>
      </c>
      <c r="M23" s="201" t="s">
        <v>213</v>
      </c>
      <c r="N23" s="201">
        <v>5500</v>
      </c>
    </row>
    <row r="24" spans="1:14" ht="18.600000000000001" thickBot="1">
      <c r="A24" s="371" t="s">
        <v>102</v>
      </c>
      <c r="B24" s="372"/>
      <c r="C24" s="70"/>
      <c r="D24" s="67"/>
      <c r="E24" s="84">
        <f t="shared" si="0"/>
        <v>0</v>
      </c>
      <c r="F24" s="156" t="s">
        <v>112</v>
      </c>
      <c r="G24" s="154"/>
      <c r="H24" s="147"/>
      <c r="I24" s="159"/>
      <c r="K24" s="186" t="s">
        <v>174</v>
      </c>
      <c r="L24" s="186">
        <f>I28</f>
        <v>0</v>
      </c>
      <c r="M24" s="201" t="s">
        <v>214</v>
      </c>
      <c r="N24" s="201">
        <v>5900</v>
      </c>
    </row>
    <row r="25" spans="1:14" ht="19.2" thickTop="1" thickBot="1">
      <c r="A25" s="456" t="s">
        <v>103</v>
      </c>
      <c r="B25" s="457"/>
      <c r="C25" s="154"/>
      <c r="D25" s="155"/>
      <c r="E25" s="164">
        <f t="shared" si="0"/>
        <v>0</v>
      </c>
      <c r="F25" s="165" t="s">
        <v>115</v>
      </c>
      <c r="G25" s="88" cm="1">
        <f t="array" ref="G25">SUM((C16:C25+D16:D25)*2) + SUM(((G16:G24+I16:I24)*2) * H16:H24)</f>
        <v>0</v>
      </c>
      <c r="H25" s="438" t="s">
        <v>78</v>
      </c>
      <c r="I25" s="439"/>
      <c r="K25" s="186" t="s">
        <v>175</v>
      </c>
      <c r="L25" s="186">
        <f>C29</f>
        <v>0</v>
      </c>
      <c r="M25" s="201" t="s">
        <v>215</v>
      </c>
      <c r="N25" s="201">
        <v>550</v>
      </c>
    </row>
    <row r="26" spans="1:14" ht="19.2" thickTop="1" thickBot="1">
      <c r="A26" s="458" t="s">
        <v>130</v>
      </c>
      <c r="B26" s="459"/>
      <c r="C26" s="460"/>
      <c r="D26" s="414"/>
      <c r="E26" s="459"/>
      <c r="F26" s="461"/>
      <c r="G26" s="459"/>
      <c r="H26" s="459"/>
      <c r="I26" s="462"/>
      <c r="K26" s="186" t="s">
        <v>176</v>
      </c>
      <c r="L26" s="186">
        <f>F29</f>
        <v>0</v>
      </c>
      <c r="M26" s="201" t="s">
        <v>216</v>
      </c>
      <c r="N26" s="201">
        <v>600</v>
      </c>
    </row>
    <row r="27" spans="1:14" ht="18.600000000000001" thickTop="1">
      <c r="A27" s="479" t="s">
        <v>131</v>
      </c>
      <c r="B27" s="480"/>
      <c r="C27" s="53"/>
      <c r="D27" s="492" t="s">
        <v>132</v>
      </c>
      <c r="E27" s="480"/>
      <c r="F27" s="53"/>
      <c r="G27" s="485" t="s">
        <v>133</v>
      </c>
      <c r="H27" s="486"/>
      <c r="I27" s="151"/>
      <c r="K27" s="186" t="s">
        <v>177</v>
      </c>
      <c r="L27" s="186">
        <f>I29</f>
        <v>0</v>
      </c>
      <c r="M27" s="201" t="s">
        <v>217</v>
      </c>
      <c r="N27" s="201">
        <v>600</v>
      </c>
    </row>
    <row r="28" spans="1:14">
      <c r="A28" s="481" t="s">
        <v>134</v>
      </c>
      <c r="B28" s="482"/>
      <c r="C28" s="174"/>
      <c r="D28" s="487" t="s">
        <v>135</v>
      </c>
      <c r="E28" s="482"/>
      <c r="F28" s="174"/>
      <c r="G28" s="390" t="s">
        <v>139</v>
      </c>
      <c r="H28" s="376"/>
      <c r="I28" s="174"/>
      <c r="K28" s="186" t="s">
        <v>178</v>
      </c>
      <c r="L28" s="186">
        <f>C30</f>
        <v>0</v>
      </c>
    </row>
    <row r="29" spans="1:14">
      <c r="A29" s="483" t="s">
        <v>136</v>
      </c>
      <c r="B29" s="466"/>
      <c r="C29" s="174"/>
      <c r="D29" s="465" t="s">
        <v>137</v>
      </c>
      <c r="E29" s="466"/>
      <c r="F29" s="174"/>
      <c r="G29" s="390" t="s">
        <v>138</v>
      </c>
      <c r="H29" s="376"/>
      <c r="I29" s="174"/>
      <c r="K29" s="186" t="s">
        <v>179</v>
      </c>
      <c r="L29" s="186">
        <f>F30</f>
        <v>0</v>
      </c>
    </row>
    <row r="30" spans="1:14" ht="18.600000000000001" thickBot="1">
      <c r="A30" s="484" t="s">
        <v>140</v>
      </c>
      <c r="B30" s="468"/>
      <c r="C30" s="190"/>
      <c r="D30" s="467" t="s">
        <v>141</v>
      </c>
      <c r="E30" s="468"/>
      <c r="F30" s="175"/>
      <c r="G30" s="487" t="s">
        <v>142</v>
      </c>
      <c r="H30" s="482"/>
      <c r="I30" s="175"/>
      <c r="K30" s="186" t="s">
        <v>180</v>
      </c>
      <c r="L30" s="186">
        <f>I30</f>
        <v>0</v>
      </c>
    </row>
    <row r="31" spans="1:14" ht="18.600000000000001" thickTop="1">
      <c r="A31" s="490" t="s">
        <v>85</v>
      </c>
      <c r="B31" s="491"/>
      <c r="C31" s="172"/>
      <c r="D31" s="469" t="s">
        <v>85</v>
      </c>
      <c r="E31" s="471"/>
      <c r="F31" s="173"/>
      <c r="G31" s="471" t="s">
        <v>85</v>
      </c>
      <c r="H31" s="471"/>
      <c r="I31" s="176"/>
    </row>
    <row r="32" spans="1:14" ht="18.600000000000001" thickBot="1">
      <c r="A32" s="488" t="s">
        <v>85</v>
      </c>
      <c r="B32" s="489"/>
      <c r="C32" s="177"/>
      <c r="D32" s="469" t="s">
        <v>85</v>
      </c>
      <c r="E32" s="470"/>
      <c r="F32" s="177"/>
      <c r="G32" s="471" t="s">
        <v>85</v>
      </c>
      <c r="H32" s="471"/>
      <c r="I32" s="163"/>
    </row>
    <row r="33" spans="1:9" ht="23.55" customHeight="1" thickTop="1" thickBot="1">
      <c r="A33" s="76" t="s">
        <v>143</v>
      </c>
      <c r="B33" s="407"/>
      <c r="C33" s="409"/>
      <c r="D33" s="77" t="s">
        <v>144</v>
      </c>
      <c r="E33" s="407"/>
      <c r="F33" s="409"/>
      <c r="G33" s="178" t="s">
        <v>145</v>
      </c>
      <c r="H33" s="477"/>
      <c r="I33" s="478"/>
    </row>
    <row r="34" spans="1:9" ht="23.55" customHeight="1" thickTop="1" thickBot="1">
      <c r="A34" s="76" t="s">
        <v>146</v>
      </c>
      <c r="B34" s="363"/>
      <c r="C34" s="410"/>
      <c r="D34" s="77" t="s">
        <v>147</v>
      </c>
      <c r="E34" s="363"/>
      <c r="F34" s="410"/>
      <c r="G34" s="77" t="s">
        <v>148</v>
      </c>
      <c r="H34" s="463"/>
      <c r="I34" s="464"/>
    </row>
    <row r="35" spans="1:9" ht="23.55" customHeight="1" thickTop="1" thickBot="1">
      <c r="A35" s="76" t="s">
        <v>149</v>
      </c>
      <c r="B35" s="411"/>
      <c r="C35" s="413"/>
      <c r="D35" s="77" t="s">
        <v>150</v>
      </c>
      <c r="E35" s="411"/>
      <c r="F35" s="413"/>
      <c r="G35" s="178" t="s">
        <v>145</v>
      </c>
      <c r="H35" s="435"/>
      <c r="I35" s="436"/>
    </row>
    <row r="36" spans="1:9" ht="18" customHeight="1" thickTop="1">
      <c r="A36" s="421" t="s">
        <v>87</v>
      </c>
      <c r="B36" s="422"/>
      <c r="C36" s="422"/>
      <c r="D36" s="422"/>
      <c r="E36" s="422"/>
      <c r="F36" s="422"/>
      <c r="G36" s="422"/>
      <c r="H36" s="422"/>
      <c r="I36" s="423"/>
    </row>
    <row r="37" spans="1:9" ht="18.600000000000001" thickBot="1">
      <c r="A37" s="424"/>
      <c r="B37" s="425"/>
      <c r="C37" s="425"/>
      <c r="D37" s="425"/>
      <c r="E37" s="425"/>
      <c r="F37" s="425"/>
      <c r="G37" s="425"/>
      <c r="H37" s="425"/>
      <c r="I37" s="426"/>
    </row>
    <row r="38" spans="1:9">
      <c r="A38" s="16"/>
      <c r="B38" s="16"/>
      <c r="C38" s="16"/>
      <c r="D38" s="16"/>
      <c r="E38" s="16"/>
      <c r="F38" s="16"/>
      <c r="G38" s="16"/>
      <c r="H38" s="16"/>
      <c r="I38" s="160"/>
    </row>
  </sheetData>
  <sheetProtection sheet="1" objects="1" scenarios="1"/>
  <mergeCells count="77">
    <mergeCell ref="G27:H27"/>
    <mergeCell ref="G28:H28"/>
    <mergeCell ref="G29:H29"/>
    <mergeCell ref="G30:H30"/>
    <mergeCell ref="A32:B32"/>
    <mergeCell ref="A31:B31"/>
    <mergeCell ref="D27:E27"/>
    <mergeCell ref="D28:E28"/>
    <mergeCell ref="B35:C35"/>
    <mergeCell ref="A27:B27"/>
    <mergeCell ref="A28:B28"/>
    <mergeCell ref="A29:B29"/>
    <mergeCell ref="A30:B30"/>
    <mergeCell ref="B34:C34"/>
    <mergeCell ref="B33:C33"/>
    <mergeCell ref="D11:E11"/>
    <mergeCell ref="G11:H11"/>
    <mergeCell ref="A26:I26"/>
    <mergeCell ref="H34:I34"/>
    <mergeCell ref="A20:B20"/>
    <mergeCell ref="D29:E29"/>
    <mergeCell ref="D30:E30"/>
    <mergeCell ref="D32:E32"/>
    <mergeCell ref="D31:E31"/>
    <mergeCell ref="E34:F34"/>
    <mergeCell ref="A14:G14"/>
    <mergeCell ref="H14:I14"/>
    <mergeCell ref="G32:H32"/>
    <mergeCell ref="G31:H31"/>
    <mergeCell ref="E33:F33"/>
    <mergeCell ref="H33:I33"/>
    <mergeCell ref="A23:B23"/>
    <mergeCell ref="A24:B24"/>
    <mergeCell ref="A25:B25"/>
    <mergeCell ref="A18:B18"/>
    <mergeCell ref="A19:B19"/>
    <mergeCell ref="A13:I13"/>
    <mergeCell ref="G12:H12"/>
    <mergeCell ref="A21:B21"/>
    <mergeCell ref="A22:B22"/>
    <mergeCell ref="A16:B16"/>
    <mergeCell ref="A17:B17"/>
    <mergeCell ref="D4:E4"/>
    <mergeCell ref="G4:H4"/>
    <mergeCell ref="D5:E5"/>
    <mergeCell ref="G5:H5"/>
    <mergeCell ref="D9:E9"/>
    <mergeCell ref="G9:H9"/>
    <mergeCell ref="D6:E6"/>
    <mergeCell ref="G6:H6"/>
    <mergeCell ref="D8:E8"/>
    <mergeCell ref="G8:H8"/>
    <mergeCell ref="D7:E7"/>
    <mergeCell ref="G7:H7"/>
    <mergeCell ref="A1:I1"/>
    <mergeCell ref="D2:E2"/>
    <mergeCell ref="G2:H2"/>
    <mergeCell ref="D3:E3"/>
    <mergeCell ref="G3:H3"/>
    <mergeCell ref="A2:B2"/>
    <mergeCell ref="A3:B3"/>
    <mergeCell ref="A36:I37"/>
    <mergeCell ref="A5:B5"/>
    <mergeCell ref="A7:B7"/>
    <mergeCell ref="A12:B12"/>
    <mergeCell ref="A9:B9"/>
    <mergeCell ref="A10:B10"/>
    <mergeCell ref="A6:B6"/>
    <mergeCell ref="A8:B8"/>
    <mergeCell ref="A11:B11"/>
    <mergeCell ref="G10:H10"/>
    <mergeCell ref="D10:E10"/>
    <mergeCell ref="E35:F35"/>
    <mergeCell ref="H35:I35"/>
    <mergeCell ref="D12:E12"/>
    <mergeCell ref="A15:B15"/>
    <mergeCell ref="H25:I25"/>
  </mergeCells>
  <phoneticPr fontId="12"/>
  <printOptions horizontalCentered="1"/>
  <pageMargins left="0.25" right="0.25" top="0.75" bottom="0.75" header="0.3" footer="0.3"/>
  <pageSetup paperSize="9"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43" r:id="rId4" name="Check Box 23">
              <controlPr defaultSize="0" autoFill="0" autoLine="0" autoPict="0">
                <anchor moveWithCells="1">
                  <from>
                    <xdr:col>1</xdr:col>
                    <xdr:colOff>7620</xdr:colOff>
                    <xdr:row>3</xdr:row>
                    <xdr:rowOff>7620</xdr:rowOff>
                  </from>
                  <to>
                    <xdr:col>1</xdr:col>
                    <xdr:colOff>723900</xdr:colOff>
                    <xdr:row>3</xdr:row>
                    <xdr:rowOff>220980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Q40"/>
  <sheetViews>
    <sheetView showGridLines="0" view="pageBreakPreview" zoomScale="90" zoomScaleNormal="100" zoomScaleSheetLayoutView="90" workbookViewId="0">
      <selection activeCell="K8" sqref="K8:N8"/>
    </sheetView>
  </sheetViews>
  <sheetFormatPr defaultColWidth="5.59765625" defaultRowHeight="30" customHeight="1"/>
  <cols>
    <col min="1" max="1" width="5.59765625" style="7" customWidth="1"/>
    <col min="3" max="3" width="5.59765625" customWidth="1"/>
    <col min="4" max="4" width="6.296875" style="7" customWidth="1"/>
    <col min="7" max="7" width="8.09765625" style="7" customWidth="1"/>
    <col min="8" max="8" width="5.19921875" style="7" customWidth="1"/>
    <col min="9" max="10" width="7.59765625" style="7" customWidth="1"/>
    <col min="11" max="11" width="9.5" style="7" customWidth="1"/>
    <col min="13" max="13" width="15.5" style="7" customWidth="1"/>
    <col min="14" max="14" width="13.296875" customWidth="1"/>
  </cols>
  <sheetData>
    <row r="1" spans="1:15" ht="24" customHeight="1">
      <c r="A1" s="495" t="s">
        <v>0</v>
      </c>
      <c r="B1" s="495"/>
      <c r="C1" s="495"/>
      <c r="D1" s="495"/>
      <c r="E1" s="495"/>
      <c r="F1" s="495"/>
      <c r="G1" s="495"/>
      <c r="H1" s="495"/>
      <c r="I1" s="495"/>
      <c r="J1" s="495"/>
      <c r="K1" s="495"/>
      <c r="L1" s="495"/>
      <c r="M1" s="495"/>
      <c r="N1" s="495"/>
    </row>
    <row r="2" spans="1:15" ht="21" customHeight="1">
      <c r="A2" s="213"/>
      <c r="B2" s="213"/>
      <c r="C2" s="213"/>
      <c r="D2" s="213"/>
      <c r="E2" s="213"/>
      <c r="F2" s="213"/>
      <c r="G2" s="213"/>
      <c r="H2" s="213"/>
      <c r="I2" s="213"/>
      <c r="J2" s="213"/>
      <c r="K2" s="213"/>
      <c r="L2" s="213"/>
      <c r="M2" s="235" t="s">
        <v>219</v>
      </c>
      <c r="N2" s="230">
        <f ca="1">TODAY()</f>
        <v>46224</v>
      </c>
    </row>
    <row r="3" spans="1:15" ht="22.5" customHeight="1">
      <c r="A3" s="517" t="str">
        <f>IF(
    OR(
        ISNUMBER(SEARCH("株式会社", 物件概要!C1)),
        ISNUMBER(SEARCH("合同会社", 物件概要!C1)),
        ISNUMBER(SEARCH("有限会社", 物件概要!C1))
    ),
    物件概要!C1 &amp; " 御中",
    物件概要!C1 &amp; " 様"
)</f>
        <v xml:space="preserve"> 様</v>
      </c>
      <c r="B3" s="517"/>
      <c r="C3" s="517"/>
      <c r="D3" s="517"/>
      <c r="E3" s="517"/>
      <c r="F3" s="517"/>
      <c r="G3" s="517"/>
      <c r="H3" s="516"/>
      <c r="I3" s="516"/>
      <c r="J3" s="213"/>
      <c r="K3" s="244"/>
      <c r="L3" s="244"/>
      <c r="M3" s="244"/>
      <c r="N3" s="244"/>
    </row>
    <row r="4" spans="1:15" ht="27" customHeight="1">
      <c r="A4" s="213"/>
      <c r="B4" s="214" t="s">
        <v>1</v>
      </c>
      <c r="C4" s="519">
        <f>物件概要!C3</f>
        <v>0</v>
      </c>
      <c r="D4" s="519"/>
      <c r="E4" s="519"/>
      <c r="F4" s="519"/>
      <c r="G4" s="519"/>
      <c r="H4" s="213"/>
      <c r="I4" s="213"/>
      <c r="J4" s="213"/>
      <c r="K4" s="497" t="s">
        <v>2</v>
      </c>
      <c r="L4" s="497"/>
      <c r="M4" s="497"/>
      <c r="N4" s="497"/>
    </row>
    <row r="5" spans="1:15" ht="21" customHeight="1" thickBot="1">
      <c r="A5" s="528" t="s">
        <v>3</v>
      </c>
      <c r="B5" s="528"/>
      <c r="C5" s="523">
        <f>物件概要!C4</f>
        <v>0</v>
      </c>
      <c r="D5" s="523"/>
      <c r="E5" s="523"/>
      <c r="F5" s="523"/>
      <c r="G5" s="523"/>
      <c r="H5" s="523"/>
      <c r="I5" s="523"/>
      <c r="J5" s="213"/>
      <c r="K5" s="526" t="s">
        <v>4</v>
      </c>
      <c r="L5" s="526"/>
      <c r="M5" s="526"/>
      <c r="N5" s="526"/>
    </row>
    <row r="6" spans="1:15" ht="20.100000000000001" customHeight="1" thickTop="1">
      <c r="A6" s="213"/>
      <c r="B6" s="215" t="s">
        <v>5</v>
      </c>
      <c r="C6" s="215"/>
      <c r="D6" s="527">
        <f ca="1">EDATE(N2,1)</f>
        <v>46255</v>
      </c>
      <c r="E6" s="527"/>
      <c r="F6" s="215"/>
      <c r="G6" s="215"/>
      <c r="H6" s="215"/>
      <c r="I6" s="215"/>
      <c r="J6" s="215"/>
      <c r="K6" s="529" t="s">
        <v>6</v>
      </c>
      <c r="L6" s="529"/>
      <c r="M6" s="529"/>
      <c r="N6" s="529"/>
    </row>
    <row r="7" spans="1:15" ht="15" customHeight="1">
      <c r="A7" s="213"/>
      <c r="B7" s="215" t="s">
        <v>28</v>
      </c>
      <c r="C7" s="213"/>
      <c r="D7" s="216">
        <f>物件概要!C2</f>
        <v>0</v>
      </c>
      <c r="E7" s="215" t="s">
        <v>27</v>
      </c>
      <c r="F7" s="215"/>
      <c r="G7" s="215"/>
      <c r="H7" s="215"/>
      <c r="I7" s="215"/>
      <c r="J7" s="213"/>
      <c r="K7" s="513" t="s">
        <v>7</v>
      </c>
      <c r="L7" s="513"/>
      <c r="M7" s="513"/>
      <c r="N7" s="513"/>
      <c r="O7" s="1"/>
    </row>
    <row r="8" spans="1:15" ht="15" customHeight="1">
      <c r="A8" s="213"/>
      <c r="B8" s="530" t="s">
        <v>29</v>
      </c>
      <c r="C8" s="530"/>
      <c r="D8" s="530"/>
      <c r="E8" s="530"/>
      <c r="F8" s="530"/>
      <c r="G8" s="530"/>
      <c r="H8" s="530"/>
      <c r="I8" s="530"/>
      <c r="J8" s="213"/>
      <c r="K8" s="513" t="s">
        <v>320</v>
      </c>
      <c r="L8" s="513"/>
      <c r="M8" s="513"/>
      <c r="N8" s="513"/>
    </row>
    <row r="9" spans="1:15" ht="15" customHeight="1">
      <c r="A9" s="217"/>
      <c r="B9" s="217"/>
      <c r="C9" s="217"/>
      <c r="D9" s="217"/>
      <c r="E9" s="217"/>
      <c r="F9" s="217"/>
      <c r="G9" s="217"/>
      <c r="H9" s="217"/>
      <c r="I9" s="217"/>
      <c r="J9" s="217"/>
      <c r="K9" s="513" t="s">
        <v>8</v>
      </c>
      <c r="L9" s="513"/>
      <c r="M9" s="513"/>
      <c r="N9" s="513"/>
    </row>
    <row r="10" spans="1:15" ht="22.8" thickBot="1">
      <c r="A10" s="506" t="s">
        <v>9</v>
      </c>
      <c r="B10" s="506"/>
      <c r="C10" s="506"/>
      <c r="D10" s="520">
        <f>L30</f>
        <v>0</v>
      </c>
      <c r="E10" s="520"/>
      <c r="F10" s="520"/>
      <c r="G10" s="520"/>
      <c r="H10" s="245" t="s">
        <v>10</v>
      </c>
      <c r="I10" s="518">
        <f>L32</f>
        <v>0</v>
      </c>
      <c r="J10" s="518"/>
      <c r="K10" s="246" t="s">
        <v>11</v>
      </c>
      <c r="L10" s="498"/>
      <c r="M10" s="498"/>
      <c r="N10" s="498"/>
    </row>
    <row r="11" spans="1:15" ht="17.55" customHeight="1" thickTop="1">
      <c r="A11" s="217"/>
      <c r="B11" s="217"/>
      <c r="C11" s="217"/>
      <c r="D11" s="217"/>
      <c r="E11" s="217"/>
      <c r="F11" s="217"/>
      <c r="G11" s="217"/>
      <c r="H11" s="217"/>
      <c r="I11" s="217"/>
      <c r="J11" s="217"/>
      <c r="K11" s="217"/>
      <c r="L11" s="217"/>
      <c r="M11" s="217"/>
      <c r="N11" s="217"/>
    </row>
    <row r="12" spans="1:15" ht="31.95" customHeight="1">
      <c r="A12" s="521" t="s">
        <v>12</v>
      </c>
      <c r="B12" s="522"/>
      <c r="C12" s="522"/>
      <c r="D12" s="522"/>
      <c r="E12" s="522" t="s">
        <v>13</v>
      </c>
      <c r="F12" s="522"/>
      <c r="G12" s="522"/>
      <c r="H12" s="522"/>
      <c r="I12" s="522"/>
      <c r="J12" s="522"/>
      <c r="K12" s="236" t="s">
        <v>14</v>
      </c>
      <c r="L12" s="236" t="s">
        <v>15</v>
      </c>
      <c r="M12" s="236" t="s">
        <v>30</v>
      </c>
      <c r="N12" s="237" t="s">
        <v>17</v>
      </c>
    </row>
    <row r="13" spans="1:15" ht="25.05" customHeight="1">
      <c r="A13" s="524"/>
      <c r="B13" s="525"/>
      <c r="C13" s="525"/>
      <c r="D13" s="525"/>
      <c r="E13" s="525"/>
      <c r="F13" s="525"/>
      <c r="G13" s="525"/>
      <c r="H13" s="525"/>
      <c r="I13" s="525"/>
      <c r="J13" s="525"/>
      <c r="K13" s="218"/>
      <c r="L13" s="218"/>
      <c r="M13" s="219"/>
      <c r="N13" s="220" t="str">
        <f>IF(OR(K13="",K13=0,M13=""),"",K13*M13)</f>
        <v/>
      </c>
    </row>
    <row r="14" spans="1:15" ht="25.05" customHeight="1">
      <c r="A14" s="510"/>
      <c r="B14" s="499"/>
      <c r="C14" s="499"/>
      <c r="D14" s="499"/>
      <c r="E14" s="499"/>
      <c r="F14" s="499"/>
      <c r="G14" s="499"/>
      <c r="H14" s="499"/>
      <c r="I14" s="499"/>
      <c r="J14" s="499"/>
      <c r="K14" s="238"/>
      <c r="L14" s="238"/>
      <c r="M14" s="239"/>
      <c r="N14" s="240" t="str">
        <f t="shared" ref="N14:N29" si="0">IF(OR(K14="",K14=0,M14=""),"",K14*M14)</f>
        <v/>
      </c>
    </row>
    <row r="15" spans="1:15" ht="25.05" customHeight="1">
      <c r="A15" s="507"/>
      <c r="B15" s="496"/>
      <c r="C15" s="496"/>
      <c r="D15" s="496"/>
      <c r="E15" s="496"/>
      <c r="F15" s="496"/>
      <c r="G15" s="496"/>
      <c r="H15" s="496"/>
      <c r="I15" s="496"/>
      <c r="J15" s="496"/>
      <c r="K15" s="221"/>
      <c r="L15" s="221"/>
      <c r="M15" s="222"/>
      <c r="N15" s="223" t="str">
        <f t="shared" si="0"/>
        <v/>
      </c>
    </row>
    <row r="16" spans="1:15" ht="25.05" customHeight="1">
      <c r="A16" s="510"/>
      <c r="B16" s="499"/>
      <c r="C16" s="499"/>
      <c r="D16" s="499"/>
      <c r="E16" s="499"/>
      <c r="F16" s="499"/>
      <c r="G16" s="499"/>
      <c r="H16" s="499"/>
      <c r="I16" s="499"/>
      <c r="J16" s="499"/>
      <c r="K16" s="238"/>
      <c r="L16" s="238"/>
      <c r="M16" s="239"/>
      <c r="N16" s="240" t="str">
        <f t="shared" si="0"/>
        <v/>
      </c>
    </row>
    <row r="17" spans="1:17" ht="25.05" customHeight="1">
      <c r="A17" s="507"/>
      <c r="B17" s="496"/>
      <c r="C17" s="496"/>
      <c r="D17" s="496"/>
      <c r="E17" s="496"/>
      <c r="F17" s="496"/>
      <c r="G17" s="496"/>
      <c r="H17" s="496"/>
      <c r="I17" s="496"/>
      <c r="J17" s="496"/>
      <c r="K17" s="221"/>
      <c r="L17" s="221"/>
      <c r="M17" s="222"/>
      <c r="N17" s="223" t="str">
        <f t="shared" si="0"/>
        <v/>
      </c>
    </row>
    <row r="18" spans="1:17" ht="25.05" customHeight="1">
      <c r="A18" s="510"/>
      <c r="B18" s="499"/>
      <c r="C18" s="499"/>
      <c r="D18" s="499"/>
      <c r="E18" s="499"/>
      <c r="F18" s="499"/>
      <c r="G18" s="499"/>
      <c r="H18" s="499"/>
      <c r="I18" s="499"/>
      <c r="J18" s="499"/>
      <c r="K18" s="238"/>
      <c r="L18" s="238"/>
      <c r="M18" s="239"/>
      <c r="N18" s="240" t="str">
        <f t="shared" si="0"/>
        <v/>
      </c>
      <c r="Q18" s="1"/>
    </row>
    <row r="19" spans="1:17" ht="25.05" customHeight="1">
      <c r="A19" s="507"/>
      <c r="B19" s="496"/>
      <c r="C19" s="496"/>
      <c r="D19" s="496"/>
      <c r="E19" s="496"/>
      <c r="F19" s="496"/>
      <c r="G19" s="496"/>
      <c r="H19" s="496"/>
      <c r="I19" s="496"/>
      <c r="J19" s="496"/>
      <c r="K19" s="221"/>
      <c r="L19" s="221"/>
      <c r="M19" s="222"/>
      <c r="N19" s="223" t="str">
        <f t="shared" si="0"/>
        <v/>
      </c>
      <c r="Q19" s="1"/>
    </row>
    <row r="20" spans="1:17" ht="25.05" customHeight="1">
      <c r="A20" s="510"/>
      <c r="B20" s="499"/>
      <c r="C20" s="499"/>
      <c r="D20" s="499"/>
      <c r="E20" s="499"/>
      <c r="F20" s="499"/>
      <c r="G20" s="499"/>
      <c r="H20" s="499"/>
      <c r="I20" s="499"/>
      <c r="J20" s="499"/>
      <c r="K20" s="238"/>
      <c r="L20" s="238"/>
      <c r="M20" s="239"/>
      <c r="N20" s="240" t="str">
        <f t="shared" si="0"/>
        <v/>
      </c>
      <c r="Q20" s="1"/>
    </row>
    <row r="21" spans="1:17" ht="25.05" customHeight="1">
      <c r="A21" s="507"/>
      <c r="B21" s="496"/>
      <c r="C21" s="496"/>
      <c r="D21" s="496"/>
      <c r="E21" s="496"/>
      <c r="F21" s="496"/>
      <c r="G21" s="496"/>
      <c r="H21" s="496"/>
      <c r="I21" s="496"/>
      <c r="J21" s="496"/>
      <c r="K21" s="221"/>
      <c r="L21" s="221"/>
      <c r="M21" s="222"/>
      <c r="N21" s="223" t="str">
        <f t="shared" si="0"/>
        <v/>
      </c>
    </row>
    <row r="22" spans="1:17" ht="25.05" customHeight="1">
      <c r="A22" s="510"/>
      <c r="B22" s="499"/>
      <c r="C22" s="499"/>
      <c r="D22" s="499"/>
      <c r="E22" s="499"/>
      <c r="F22" s="499"/>
      <c r="G22" s="499"/>
      <c r="H22" s="499"/>
      <c r="I22" s="499"/>
      <c r="J22" s="499"/>
      <c r="K22" s="238"/>
      <c r="L22" s="238"/>
      <c r="M22" s="239"/>
      <c r="N22" s="240" t="str">
        <f t="shared" si="0"/>
        <v/>
      </c>
    </row>
    <row r="23" spans="1:17" ht="25.05" customHeight="1">
      <c r="A23" s="507"/>
      <c r="B23" s="496"/>
      <c r="C23" s="496"/>
      <c r="D23" s="496"/>
      <c r="E23" s="496"/>
      <c r="F23" s="496"/>
      <c r="G23" s="496"/>
      <c r="H23" s="496"/>
      <c r="I23" s="496"/>
      <c r="J23" s="496"/>
      <c r="K23" s="221"/>
      <c r="L23" s="221"/>
      <c r="M23" s="222"/>
      <c r="N23" s="223" t="str">
        <f t="shared" si="0"/>
        <v/>
      </c>
    </row>
    <row r="24" spans="1:17" ht="25.05" customHeight="1">
      <c r="A24" s="510"/>
      <c r="B24" s="499"/>
      <c r="C24" s="499"/>
      <c r="D24" s="499"/>
      <c r="E24" s="499"/>
      <c r="F24" s="499"/>
      <c r="G24" s="499"/>
      <c r="H24" s="499"/>
      <c r="I24" s="499"/>
      <c r="J24" s="499"/>
      <c r="K24" s="238"/>
      <c r="L24" s="238"/>
      <c r="M24" s="239"/>
      <c r="N24" s="240" t="str">
        <f t="shared" si="0"/>
        <v/>
      </c>
    </row>
    <row r="25" spans="1:17" ht="25.05" customHeight="1">
      <c r="A25" s="507"/>
      <c r="B25" s="496"/>
      <c r="C25" s="496"/>
      <c r="D25" s="496"/>
      <c r="E25" s="496"/>
      <c r="F25" s="496"/>
      <c r="G25" s="496"/>
      <c r="H25" s="496"/>
      <c r="I25" s="496"/>
      <c r="J25" s="496"/>
      <c r="K25" s="221"/>
      <c r="L25" s="221"/>
      <c r="M25" s="222"/>
      <c r="N25" s="223" t="str">
        <f t="shared" si="0"/>
        <v/>
      </c>
    </row>
    <row r="26" spans="1:17" ht="25.05" customHeight="1">
      <c r="A26" s="510"/>
      <c r="B26" s="499"/>
      <c r="C26" s="499"/>
      <c r="D26" s="499"/>
      <c r="E26" s="499"/>
      <c r="F26" s="499"/>
      <c r="G26" s="499"/>
      <c r="H26" s="499"/>
      <c r="I26" s="499"/>
      <c r="J26" s="499"/>
      <c r="K26" s="238"/>
      <c r="L26" s="238"/>
      <c r="M26" s="239"/>
      <c r="N26" s="240" t="str">
        <f t="shared" si="0"/>
        <v/>
      </c>
    </row>
    <row r="27" spans="1:17" ht="25.05" customHeight="1">
      <c r="A27" s="507"/>
      <c r="B27" s="496"/>
      <c r="C27" s="496"/>
      <c r="D27" s="496"/>
      <c r="E27" s="496"/>
      <c r="F27" s="496"/>
      <c r="G27" s="496"/>
      <c r="H27" s="496"/>
      <c r="I27" s="496"/>
      <c r="J27" s="496"/>
      <c r="K27" s="221"/>
      <c r="L27" s="221"/>
      <c r="M27" s="222"/>
      <c r="N27" s="223" t="str">
        <f t="shared" si="0"/>
        <v/>
      </c>
    </row>
    <row r="28" spans="1:17" ht="25.05" customHeight="1">
      <c r="A28" s="510"/>
      <c r="B28" s="499"/>
      <c r="C28" s="499"/>
      <c r="D28" s="499"/>
      <c r="E28" s="499"/>
      <c r="F28" s="499"/>
      <c r="G28" s="499"/>
      <c r="H28" s="499"/>
      <c r="I28" s="499"/>
      <c r="J28" s="499"/>
      <c r="K28" s="238"/>
      <c r="L28" s="238"/>
      <c r="M28" s="239"/>
      <c r="N28" s="240" t="str">
        <f t="shared" si="0"/>
        <v/>
      </c>
    </row>
    <row r="29" spans="1:17" ht="25.05" customHeight="1">
      <c r="A29" s="534"/>
      <c r="B29" s="531"/>
      <c r="C29" s="531"/>
      <c r="D29" s="531"/>
      <c r="E29" s="531"/>
      <c r="F29" s="531"/>
      <c r="G29" s="531"/>
      <c r="H29" s="531"/>
      <c r="I29" s="531"/>
      <c r="J29" s="531"/>
      <c r="K29" s="224"/>
      <c r="L29" s="224"/>
      <c r="M29" s="225"/>
      <c r="N29" s="226" t="str">
        <f t="shared" si="0"/>
        <v/>
      </c>
    </row>
    <row r="30" spans="1:17" ht="20.100000000000001" customHeight="1">
      <c r="A30" s="227"/>
      <c r="B30" s="227"/>
      <c r="C30" s="227"/>
      <c r="D30" s="227"/>
      <c r="E30" s="227"/>
      <c r="F30" s="227"/>
      <c r="G30" s="227"/>
      <c r="H30" s="227"/>
      <c r="I30" s="227"/>
      <c r="J30" s="227"/>
      <c r="K30" s="241" t="s">
        <v>18</v>
      </c>
      <c r="L30" s="538">
        <f>SUM(N13:N33)</f>
        <v>0</v>
      </c>
      <c r="M30" s="538"/>
      <c r="N30" s="539"/>
    </row>
    <row r="31" spans="1:17" ht="20.100000000000001" customHeight="1">
      <c r="A31" s="228"/>
      <c r="B31" s="229"/>
      <c r="C31" s="228"/>
      <c r="D31" s="228"/>
      <c r="E31" s="228"/>
      <c r="F31" s="228"/>
      <c r="G31" s="228"/>
      <c r="H31" s="228"/>
      <c r="I31" s="228"/>
      <c r="J31" s="228"/>
      <c r="K31" s="242" t="s">
        <v>19</v>
      </c>
      <c r="L31" s="514">
        <f>ROUND(L30*0.1,0)</f>
        <v>0</v>
      </c>
      <c r="M31" s="514"/>
      <c r="N31" s="515"/>
    </row>
    <row r="32" spans="1:17" ht="19.95" customHeight="1">
      <c r="A32" s="228"/>
      <c r="B32" s="537"/>
      <c r="C32" s="537"/>
      <c r="D32" s="537"/>
      <c r="E32" s="537"/>
      <c r="F32" s="537"/>
      <c r="G32" s="228"/>
      <c r="H32" s="228"/>
      <c r="I32" s="228"/>
      <c r="J32" s="228"/>
      <c r="K32" s="243" t="s">
        <v>20</v>
      </c>
      <c r="L32" s="508">
        <f>L31+L30</f>
        <v>0</v>
      </c>
      <c r="M32" s="508"/>
      <c r="N32" s="509"/>
    </row>
    <row r="33" spans="1:17" ht="20.100000000000001" customHeight="1">
      <c r="A33" s="228"/>
      <c r="B33" s="537"/>
      <c r="C33" s="537"/>
      <c r="D33" s="537"/>
      <c r="E33" s="537"/>
      <c r="F33" s="537"/>
      <c r="G33" s="228"/>
      <c r="H33" s="228"/>
      <c r="I33" s="228"/>
      <c r="J33" s="228"/>
      <c r="K33" s="228"/>
      <c r="L33" s="228"/>
      <c r="M33" s="228"/>
      <c r="N33" s="228"/>
    </row>
    <row r="34" spans="1:17" ht="20.100000000000001" customHeight="1">
      <c r="A34" s="500" t="s">
        <v>220</v>
      </c>
      <c r="B34" s="501"/>
      <c r="C34" s="535"/>
      <c r="D34" s="535"/>
      <c r="E34" s="535"/>
      <c r="F34" s="535"/>
      <c r="G34" s="535"/>
      <c r="H34" s="535"/>
      <c r="I34" s="535"/>
      <c r="J34" s="535"/>
      <c r="K34" s="535"/>
      <c r="L34" s="535"/>
      <c r="M34" s="535"/>
      <c r="N34" s="536"/>
    </row>
    <row r="35" spans="1:17" ht="20.100000000000001" customHeight="1">
      <c r="A35" s="502"/>
      <c r="B35" s="503"/>
      <c r="C35" s="532"/>
      <c r="D35" s="532"/>
      <c r="E35" s="532"/>
      <c r="F35" s="532"/>
      <c r="G35" s="532"/>
      <c r="H35" s="532"/>
      <c r="I35" s="532"/>
      <c r="J35" s="532"/>
      <c r="K35" s="532"/>
      <c r="L35" s="532"/>
      <c r="M35" s="532"/>
      <c r="N35" s="533"/>
    </row>
    <row r="36" spans="1:17" s="1" customFormat="1" ht="20.100000000000001" customHeight="1">
      <c r="A36" s="502"/>
      <c r="B36" s="503"/>
      <c r="C36" s="493"/>
      <c r="D36" s="493"/>
      <c r="E36" s="493"/>
      <c r="F36" s="493"/>
      <c r="G36" s="493"/>
      <c r="H36" s="493"/>
      <c r="I36" s="493"/>
      <c r="J36" s="493"/>
      <c r="K36" s="493"/>
      <c r="L36" s="493"/>
      <c r="M36" s="493"/>
      <c r="N36" s="494"/>
      <c r="Q36"/>
    </row>
    <row r="37" spans="1:17" s="1" customFormat="1" ht="20.100000000000001" customHeight="1">
      <c r="A37" s="504"/>
      <c r="B37" s="505"/>
      <c r="C37" s="511"/>
      <c r="D37" s="511"/>
      <c r="E37" s="511"/>
      <c r="F37" s="511"/>
      <c r="G37" s="511"/>
      <c r="H37" s="511"/>
      <c r="I37" s="511"/>
      <c r="J37" s="511"/>
      <c r="K37" s="511"/>
      <c r="L37" s="511"/>
      <c r="M37" s="511"/>
      <c r="N37" s="512"/>
      <c r="Q37"/>
    </row>
    <row r="38" spans="1:17" s="1" customFormat="1" ht="20.100000000000001" customHeight="1">
      <c r="Q38"/>
    </row>
    <row r="39" spans="1:17" ht="19.8">
      <c r="A39" s="1"/>
      <c r="B39" s="1"/>
      <c r="C39" s="1"/>
      <c r="D39" s="1"/>
      <c r="E39" s="1"/>
      <c r="F39" s="1"/>
      <c r="G39" s="1"/>
      <c r="H39" s="1"/>
      <c r="I39" s="1"/>
      <c r="J39" s="1"/>
      <c r="K39" s="1"/>
      <c r="L39" s="1"/>
      <c r="M39" s="1"/>
      <c r="N39" s="1"/>
    </row>
    <row r="40" spans="1:17" ht="19.8">
      <c r="A40" s="1"/>
      <c r="B40" s="1"/>
      <c r="C40" s="1"/>
      <c r="D40" s="1"/>
      <c r="E40" s="1"/>
      <c r="F40" s="1"/>
      <c r="G40" s="1"/>
      <c r="H40" s="1"/>
      <c r="I40" s="1"/>
      <c r="J40" s="1"/>
      <c r="K40" s="1"/>
      <c r="L40" s="1"/>
      <c r="M40" s="1"/>
      <c r="N40" s="1"/>
    </row>
  </sheetData>
  <sheetProtection sheet="1" objects="1" scenarios="1"/>
  <mergeCells count="64">
    <mergeCell ref="E29:J29"/>
    <mergeCell ref="C35:N35"/>
    <mergeCell ref="A20:D20"/>
    <mergeCell ref="A29:D29"/>
    <mergeCell ref="E22:J22"/>
    <mergeCell ref="C34:N34"/>
    <mergeCell ref="B33:F33"/>
    <mergeCell ref="B32:F32"/>
    <mergeCell ref="L30:N30"/>
    <mergeCell ref="E28:J28"/>
    <mergeCell ref="A23:D23"/>
    <mergeCell ref="E20:J20"/>
    <mergeCell ref="A24:D24"/>
    <mergeCell ref="A22:D22"/>
    <mergeCell ref="A27:D27"/>
    <mergeCell ref="E24:J24"/>
    <mergeCell ref="A28:D28"/>
    <mergeCell ref="E21:J21"/>
    <mergeCell ref="K5:N5"/>
    <mergeCell ref="D6:E6"/>
    <mergeCell ref="A17:D17"/>
    <mergeCell ref="K9:N9"/>
    <mergeCell ref="A19:D19"/>
    <mergeCell ref="A5:B5"/>
    <mergeCell ref="A14:D14"/>
    <mergeCell ref="K6:N6"/>
    <mergeCell ref="E19:J19"/>
    <mergeCell ref="A15:D15"/>
    <mergeCell ref="K8:N8"/>
    <mergeCell ref="E13:J13"/>
    <mergeCell ref="B8:I8"/>
    <mergeCell ref="A16:D16"/>
    <mergeCell ref="H3:I3"/>
    <mergeCell ref="A3:G3"/>
    <mergeCell ref="I10:J10"/>
    <mergeCell ref="E14:J14"/>
    <mergeCell ref="A26:D26"/>
    <mergeCell ref="E23:J23"/>
    <mergeCell ref="C4:G4"/>
    <mergeCell ref="D10:G10"/>
    <mergeCell ref="E25:J25"/>
    <mergeCell ref="E18:J18"/>
    <mergeCell ref="A12:D12"/>
    <mergeCell ref="A21:D21"/>
    <mergeCell ref="E17:J17"/>
    <mergeCell ref="C5:I5"/>
    <mergeCell ref="A13:D13"/>
    <mergeCell ref="E12:J12"/>
    <mergeCell ref="C36:N36"/>
    <mergeCell ref="A1:N1"/>
    <mergeCell ref="E15:J15"/>
    <mergeCell ref="K4:N4"/>
    <mergeCell ref="L10:N10"/>
    <mergeCell ref="E26:J26"/>
    <mergeCell ref="A34:B37"/>
    <mergeCell ref="A10:C10"/>
    <mergeCell ref="E16:J16"/>
    <mergeCell ref="A25:D25"/>
    <mergeCell ref="L32:N32"/>
    <mergeCell ref="A18:D18"/>
    <mergeCell ref="C37:N37"/>
    <mergeCell ref="K7:N7"/>
    <mergeCell ref="L31:N31"/>
    <mergeCell ref="E27:J27"/>
  </mergeCells>
  <phoneticPr fontId="12"/>
  <dataValidations count="4">
    <dataValidation type="list" allowBlank="1" showInputMessage="1" showErrorMessage="1" sqref="A12:D12" xr:uid="{00000000-0002-0000-0000-000000000000}">
      <formula1>#REF!</formula1>
    </dataValidation>
    <dataValidation type="decimal" allowBlank="1" showInputMessage="1" showErrorMessage="1" sqref="K13:K29" xr:uid="{DEBD1AE7-3A6D-4234-8A77-A56E9C029214}">
      <formula1>0</formula1>
      <formula2>10000</formula2>
    </dataValidation>
    <dataValidation type="list" allowBlank="1" showInputMessage="1" showErrorMessage="1" sqref="A14:D29" xr:uid="{F200146E-459D-41FC-A954-3C70F0BC8611}">
      <formula1>"足場架設工事,塗装工事,防水工事,板金工事,内装工事,木工事,大工工事,電気工事,設備工事,解体工事,ハウスクリーニング,雑工事,共通仮設費,諸経費,ｻｰﾋﾞｽ・お値引き"</formula1>
    </dataValidation>
    <dataValidation type="list" allowBlank="1" showInputMessage="1" showErrorMessage="1" sqref="A13:D13" xr:uid="{5DAB863C-3539-499B-A53D-565FB72DC06D}">
      <formula1>"足場架設工事,塗装工事,防水工事,板金工事,内装工事,木工事,大工工事,電気工事,設備工事,解体工事,外構工事,タイル工事,左官工事,ハウスクリーニング,雑工事,共通仮設費,諸経費,ｻｰﾋﾞｽ・お値引き"</formula1>
    </dataValidation>
  </dataValidations>
  <printOptions horizontalCentered="1" verticalCentered="1"/>
  <pageMargins left="0.23622047244094491" right="0.23622047244094491" top="0.74803149606299213" bottom="0.74803149606299213" header="0.31496062992125984" footer="0.31496062992125984"/>
  <pageSetup paperSize="9" scale="85"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R65"/>
  <sheetViews>
    <sheetView showGridLines="0" zoomScaleNormal="100" zoomScaleSheetLayoutView="90" workbookViewId="0">
      <selection activeCell="K9" sqref="K9"/>
    </sheetView>
  </sheetViews>
  <sheetFormatPr defaultColWidth="5.59765625" defaultRowHeight="30" customHeight="1"/>
  <cols>
    <col min="1" max="1" width="3.19921875" style="234" customWidth="1"/>
    <col min="2" max="3" width="10.09765625" style="207" customWidth="1"/>
    <col min="4" max="4" width="8.69921875" style="18" customWidth="1"/>
    <col min="5" max="5" width="24.69921875" style="18" customWidth="1"/>
    <col min="6" max="6" width="8" style="179" customWidth="1"/>
    <col min="7" max="7" width="6.69921875" style="179" customWidth="1"/>
    <col min="8" max="8" width="12.3984375" style="18" customWidth="1"/>
    <col min="9" max="9" width="13.19921875" style="18" customWidth="1"/>
    <col min="10" max="10" width="5.59765625" style="18"/>
    <col min="12" max="12" width="8.59765625" style="18" customWidth="1"/>
    <col min="14" max="14" width="8.59765625" style="18" customWidth="1"/>
    <col min="15" max="15" width="5.59765625" style="18"/>
    <col min="16" max="16" width="20.59765625" style="201" customWidth="1"/>
    <col min="17" max="17" width="5.59765625" style="18"/>
    <col min="18" max="18" width="20.09765625" style="179" customWidth="1"/>
    <col min="19" max="16384" width="5.59765625" style="18"/>
  </cols>
  <sheetData>
    <row r="1" spans="1:18">
      <c r="A1" s="495" t="s">
        <v>31</v>
      </c>
      <c r="B1" s="557"/>
      <c r="C1" s="557"/>
      <c r="D1" s="557"/>
      <c r="E1" s="557"/>
      <c r="F1" s="557"/>
      <c r="G1" s="557"/>
      <c r="H1" s="557"/>
      <c r="I1" s="557"/>
      <c r="J1" s="203"/>
      <c r="P1" s="200" t="s">
        <v>30</v>
      </c>
      <c r="R1" s="204"/>
    </row>
    <row r="2" spans="1:18" ht="27" thickBot="1">
      <c r="A2" s="205"/>
      <c r="B2" s="567"/>
      <c r="C2" s="567"/>
      <c r="D2" s="567"/>
      <c r="E2" s="184"/>
      <c r="F2" s="2"/>
      <c r="G2" s="2"/>
      <c r="H2" s="205"/>
      <c r="I2" s="2"/>
      <c r="J2" s="203"/>
      <c r="P2" s="201" t="s">
        <v>154</v>
      </c>
    </row>
    <row r="3" spans="1:18" ht="19.05" customHeight="1" thickTop="1">
      <c r="A3" s="205"/>
      <c r="B3" s="180"/>
      <c r="C3" s="180"/>
      <c r="D3" s="2"/>
      <c r="E3" s="2"/>
      <c r="F3" s="3"/>
      <c r="G3" s="3"/>
      <c r="H3" s="3"/>
      <c r="I3" s="3"/>
      <c r="J3" s="203"/>
      <c r="K3" t="s">
        <v>56</v>
      </c>
      <c r="M3" t="s">
        <v>30</v>
      </c>
      <c r="P3" s="201" t="s">
        <v>193</v>
      </c>
    </row>
    <row r="4" spans="1:18" ht="18.45" customHeight="1">
      <c r="A4" s="558" t="s">
        <v>12</v>
      </c>
      <c r="B4" s="559"/>
      <c r="C4" s="560"/>
      <c r="D4" s="558" t="s">
        <v>24</v>
      </c>
      <c r="E4" s="560"/>
      <c r="F4" s="248" t="s">
        <v>14</v>
      </c>
      <c r="G4" s="247" t="s">
        <v>15</v>
      </c>
      <c r="H4" s="249" t="s">
        <v>16</v>
      </c>
      <c r="I4" s="250" t="s">
        <v>17</v>
      </c>
      <c r="J4" s="203"/>
      <c r="K4" s="208" t="s">
        <v>191</v>
      </c>
      <c r="L4" s="199" t="s">
        <v>192</v>
      </c>
      <c r="M4" s="208" t="s">
        <v>191</v>
      </c>
      <c r="N4" s="199" t="s">
        <v>192</v>
      </c>
      <c r="P4" s="201" t="s">
        <v>194</v>
      </c>
    </row>
    <row r="5" spans="1:18" ht="25.95" customHeight="1">
      <c r="A5" s="251" t="s">
        <v>218</v>
      </c>
      <c r="B5" s="561"/>
      <c r="C5" s="562"/>
      <c r="D5" s="568"/>
      <c r="E5" s="569"/>
      <c r="F5" s="252" t="str">
        <f>IF(L5&lt;&gt;"",L5,K5)</f>
        <v/>
      </c>
      <c r="G5" s="253"/>
      <c r="H5" s="254" t="str">
        <f>IF(N5&lt;&gt;"",N5,M5)</f>
        <v/>
      </c>
      <c r="I5" s="255" t="str">
        <f t="shared" ref="I5:I28" si="0">IFERROR(F5*H5,"")</f>
        <v/>
      </c>
      <c r="J5" s="203"/>
      <c r="K5" s="209" t="str" cm="1">
        <f t="array" ref="K5">IFERROR(INDEX(物件概要!$L$3:$L$50,MATCH(1,(物件概要!$K$3:$K$50&lt;&gt;"")*ISNUMBER(SEARCH(物件概要!$K$3:$K$50,B5)),0)),IFERROR(INDEX('物件概要(2)'!$L$3:$L$49,MATCH(1,('物件概要(2)'!$K$3:$K$49&lt;&gt;"")*ISNUMBER(SEARCH('物件概要(2)'!$K$3:$K$49,B5)),0)),""))</f>
        <v/>
      </c>
      <c r="L5" s="206"/>
      <c r="M5" s="211" t="str" cm="1">
        <f t="array" ref="M5">IFERROR(INDEX('物件概要(2)'!$N$3:$N$49,MATCH(1,('物件概要(2)'!$M$3:$M$49&lt;&gt;"")*ISNUMBER(SEARCH('物件概要(2)'!$M$3:$M$49,B5)),0)),"")</f>
        <v/>
      </c>
      <c r="N5" s="206"/>
      <c r="P5" s="201" t="s">
        <v>195</v>
      </c>
    </row>
    <row r="6" spans="1:18" ht="25.95" customHeight="1">
      <c r="A6" s="256" t="s">
        <v>218</v>
      </c>
      <c r="B6" s="563"/>
      <c r="C6" s="564"/>
      <c r="D6" s="570"/>
      <c r="E6" s="571"/>
      <c r="F6" s="257" t="str">
        <f t="shared" ref="F6:F28" si="1">IF(L6&lt;&gt;"",L6,K6)</f>
        <v/>
      </c>
      <c r="G6" s="258"/>
      <c r="H6" s="259" t="str">
        <f t="shared" ref="H6:H28" si="2">IF(N6&lt;&gt;"",N6,M6)</f>
        <v/>
      </c>
      <c r="I6" s="255" t="str">
        <f t="shared" si="0"/>
        <v/>
      </c>
      <c r="J6" s="203"/>
      <c r="K6" s="209" t="str" cm="1">
        <f t="array" ref="K6">IFERROR(INDEX(物件概要!$L$3:$L$50,MATCH(1,(物件概要!$K$3:$K$50&lt;&gt;"")*ISNUMBER(SEARCH(物件概要!$K$3:$K$50,B6)),0)),IFERROR(INDEX('物件概要(2)'!$L$3:$L$49,MATCH(1,('物件概要(2)'!$K$3:$K$49&lt;&gt;"")*ISNUMBER(SEARCH('物件概要(2)'!$K$3:$K$49,B6)),0)),""))</f>
        <v/>
      </c>
      <c r="L6" s="206"/>
      <c r="M6" s="211" t="str" cm="1">
        <f t="array" ref="M6">IFERROR(INDEX('物件概要(2)'!$N$3:$N$49,MATCH(1,('物件概要(2)'!$M$3:$M$49&lt;&gt;"")*ISNUMBER(SEARCH('物件概要(2)'!$M$3:$M$49,B6)),0)),"")</f>
        <v/>
      </c>
      <c r="N6" s="206"/>
      <c r="P6" s="201" t="s">
        <v>196</v>
      </c>
    </row>
    <row r="7" spans="1:18" ht="25.95" customHeight="1">
      <c r="A7" s="256" t="s">
        <v>218</v>
      </c>
      <c r="B7" s="563"/>
      <c r="C7" s="564"/>
      <c r="D7" s="570"/>
      <c r="E7" s="571"/>
      <c r="F7" s="260" t="str">
        <f t="shared" si="1"/>
        <v/>
      </c>
      <c r="G7" s="258"/>
      <c r="H7" s="259" t="str">
        <f t="shared" si="2"/>
        <v/>
      </c>
      <c r="I7" s="255" t="str">
        <f t="shared" si="0"/>
        <v/>
      </c>
      <c r="J7" s="203"/>
      <c r="K7" s="209" t="str" cm="1">
        <f t="array" ref="K7">IFERROR(INDEX(物件概要!$L$3:$L$50,MATCH(1,(物件概要!$K$3:$K$50&lt;&gt;"")*ISNUMBER(SEARCH(物件概要!$K$3:$K$50,B7)),0)),IFERROR(INDEX('物件概要(2)'!$L$3:$L$49,MATCH(1,('物件概要(2)'!$K$3:$K$49&lt;&gt;"")*ISNUMBER(SEARCH('物件概要(2)'!$K$3:$K$49,B7)),0)),""))</f>
        <v/>
      </c>
      <c r="L7" s="206"/>
      <c r="M7" s="211" t="str" cm="1">
        <f t="array" ref="M7">IFERROR(INDEX('物件概要(2)'!$N$3:$N$49,MATCH(1,('物件概要(2)'!$M$3:$M$49&lt;&gt;"")*ISNUMBER(SEARCH('物件概要(2)'!$M$3:$M$49,B7)),0)),"")</f>
        <v/>
      </c>
      <c r="N7" s="206"/>
      <c r="P7" s="201" t="s">
        <v>197</v>
      </c>
    </row>
    <row r="8" spans="1:18" ht="25.95" customHeight="1">
      <c r="A8" s="256" t="s">
        <v>218</v>
      </c>
      <c r="B8" s="563"/>
      <c r="C8" s="564"/>
      <c r="D8" s="570"/>
      <c r="E8" s="571"/>
      <c r="F8" s="260" t="str">
        <f t="shared" si="1"/>
        <v/>
      </c>
      <c r="G8" s="258"/>
      <c r="H8" s="259" t="str">
        <f t="shared" si="2"/>
        <v/>
      </c>
      <c r="I8" s="255" t="str">
        <f t="shared" si="0"/>
        <v/>
      </c>
      <c r="J8" s="203"/>
      <c r="K8" s="209" t="str" cm="1">
        <f t="array" ref="K8">IFERROR(INDEX(物件概要!$L$3:$L$50,MATCH(1,(物件概要!$K$3:$K$50&lt;&gt;"")*ISNUMBER(SEARCH(物件概要!$K$3:$K$50,B8)),0)),IFERROR(INDEX('物件概要(2)'!$L$3:$L$49,MATCH(1,('物件概要(2)'!$K$3:$K$49&lt;&gt;"")*ISNUMBER(SEARCH('物件概要(2)'!$K$3:$K$49,B8)),0)),""))</f>
        <v/>
      </c>
      <c r="L8" s="206"/>
      <c r="M8" s="211" t="str" cm="1">
        <f t="array" ref="M8">IFERROR(INDEX('物件概要(2)'!$N$3:$N$49,MATCH(1,('物件概要(2)'!$M$3:$M$49&lt;&gt;"")*ISNUMBER(SEARCH('物件概要(2)'!$M$3:$M$49,B8)),0)),"")</f>
        <v/>
      </c>
      <c r="N8" s="206"/>
      <c r="P8" s="201" t="s">
        <v>198</v>
      </c>
    </row>
    <row r="9" spans="1:18" ht="25.95" customHeight="1">
      <c r="A9" s="256" t="s">
        <v>218</v>
      </c>
      <c r="B9" s="563"/>
      <c r="C9" s="564"/>
      <c r="D9" s="570"/>
      <c r="E9" s="571"/>
      <c r="F9" s="260" t="str">
        <f t="shared" si="1"/>
        <v/>
      </c>
      <c r="G9" s="258"/>
      <c r="H9" s="259" t="str">
        <f t="shared" si="2"/>
        <v/>
      </c>
      <c r="I9" s="255" t="str">
        <f t="shared" si="0"/>
        <v/>
      </c>
      <c r="J9" s="203"/>
      <c r="K9" s="209" t="str" cm="1">
        <f t="array" ref="K9">IFERROR(INDEX(物件概要!$L$3:$L$50,MATCH(1,(物件概要!$K$3:$K$50&lt;&gt;"")*ISNUMBER(SEARCH(物件概要!$K$3:$K$50,B9)),0)),IFERROR(INDEX('物件概要(2)'!$L$3:$L$49,MATCH(1,('物件概要(2)'!$K$3:$K$49&lt;&gt;"")*ISNUMBER(SEARCH('物件概要(2)'!$K$3:$K$49,B9)),0)),""))</f>
        <v/>
      </c>
      <c r="L9" s="206"/>
      <c r="M9" s="211" t="str" cm="1">
        <f t="array" ref="M9">IFERROR(INDEX('物件概要(2)'!$N$3:$N$49,MATCH(1,('物件概要(2)'!$M$3:$M$49&lt;&gt;"")*ISNUMBER(SEARCH('物件概要(2)'!$M$3:$M$49,B9)),0)),"")</f>
        <v/>
      </c>
      <c r="N9" s="206"/>
      <c r="P9" s="201" t="s">
        <v>199</v>
      </c>
    </row>
    <row r="10" spans="1:18" ht="25.95" customHeight="1">
      <c r="A10" s="256" t="s">
        <v>218</v>
      </c>
      <c r="B10" s="261"/>
      <c r="C10" s="261"/>
      <c r="D10" s="570"/>
      <c r="E10" s="571"/>
      <c r="F10" s="260" t="str">
        <f t="shared" si="1"/>
        <v/>
      </c>
      <c r="G10" s="258"/>
      <c r="H10" s="259" t="str">
        <f t="shared" si="2"/>
        <v/>
      </c>
      <c r="I10" s="255" t="str">
        <f t="shared" si="0"/>
        <v/>
      </c>
      <c r="J10" s="203"/>
      <c r="K10" s="209" t="str" cm="1">
        <f t="array" ref="K10">IFERROR(INDEX(物件概要!$L$3:$L$50,MATCH(1,(物件概要!$K$3:$K$50&lt;&gt;"")*ISNUMBER(SEARCH(物件概要!$K$3:$K$50,B10)),0)),IFERROR(INDEX('物件概要(2)'!$L$3:$L$49,MATCH(1,('物件概要(2)'!$K$3:$K$49&lt;&gt;"")*ISNUMBER(SEARCH('物件概要(2)'!$K$3:$K$49,B11)),0)),""))</f>
        <v/>
      </c>
      <c r="L10" s="206"/>
      <c r="M10" s="211" t="str" cm="1">
        <f t="array" ref="M10">IFERROR(INDEX('物件概要(2)'!$N$3:$N$49,MATCH(1,('物件概要(2)'!$M$3:$M$49&lt;&gt;"")*ISNUMBER(SEARCH('物件概要(2)'!$M$3:$M$49,B11)),0)),"")</f>
        <v/>
      </c>
      <c r="N10" s="206"/>
      <c r="P10" s="201" t="s">
        <v>200</v>
      </c>
    </row>
    <row r="11" spans="1:18" ht="25.95" customHeight="1">
      <c r="A11" s="256" t="s">
        <v>218</v>
      </c>
      <c r="B11" s="563"/>
      <c r="C11" s="564"/>
      <c r="D11" s="570"/>
      <c r="E11" s="571"/>
      <c r="F11" s="260" t="str">
        <f t="shared" si="1"/>
        <v/>
      </c>
      <c r="G11" s="258"/>
      <c r="H11" s="259" t="str">
        <f t="shared" si="2"/>
        <v/>
      </c>
      <c r="I11" s="255" t="str">
        <f t="shared" si="0"/>
        <v/>
      </c>
      <c r="J11" s="203"/>
      <c r="K11" s="209" t="str" cm="1">
        <f t="array" ref="K11">IFERROR(INDEX(物件概要!$L$3:$L$50,MATCH(1,(物件概要!$K$3:$K$50&lt;&gt;"")*ISNUMBER(SEARCH(物件概要!$K$3:$K$50,B11)),0)),IFERROR(INDEX('物件概要(2)'!$L$3:$L$49,MATCH(1,('物件概要(2)'!$K$3:$K$49&lt;&gt;"")*ISNUMBER(SEARCH('物件概要(2)'!$K$3:$K$49,#REF!)),0)),""))</f>
        <v/>
      </c>
      <c r="L11" s="206"/>
      <c r="M11" s="211" t="str" cm="1">
        <f t="array" ref="M11">IFERROR(INDEX('物件概要(2)'!$N$3:$N$49,MATCH(1,('物件概要(2)'!$M$3:$M$49&lt;&gt;"")*ISNUMBER(SEARCH('物件概要(2)'!$M$3:$M$49,#REF!)),0)),"")</f>
        <v/>
      </c>
      <c r="N11" s="206"/>
      <c r="P11" s="201" t="s">
        <v>201</v>
      </c>
    </row>
    <row r="12" spans="1:18" ht="25.95" customHeight="1">
      <c r="A12" s="256" t="s">
        <v>218</v>
      </c>
      <c r="B12" s="563"/>
      <c r="C12" s="564"/>
      <c r="D12" s="570"/>
      <c r="E12" s="571"/>
      <c r="F12" s="260" t="str">
        <f t="shared" si="1"/>
        <v/>
      </c>
      <c r="G12" s="258"/>
      <c r="H12" s="259" t="str">
        <f t="shared" si="2"/>
        <v/>
      </c>
      <c r="I12" s="255" t="str">
        <f t="shared" si="0"/>
        <v/>
      </c>
      <c r="J12" s="203"/>
      <c r="K12" s="209" t="str" cm="1">
        <f t="array" ref="K12">IFERROR(INDEX(物件概要!$L$3:$L$50,MATCH(1,(物件概要!$K$3:$K$50&lt;&gt;"")*ISNUMBER(SEARCH(物件概要!$K$3:$K$50,B12)),0)),IFERROR(INDEX('物件概要(2)'!$L$3:$L$49,MATCH(1,('物件概要(2)'!$K$3:$K$49&lt;&gt;"")*ISNUMBER(SEARCH('物件概要(2)'!$K$3:$K$49,B12)),0)),""))</f>
        <v/>
      </c>
      <c r="L12" s="206"/>
      <c r="M12" s="211" t="str" cm="1">
        <f t="array" ref="M12">IFERROR(INDEX('物件概要(2)'!$N$3:$N$49,MATCH(1,('物件概要(2)'!$M$3:$M$49&lt;&gt;"")*ISNUMBER(SEARCH('物件概要(2)'!$M$3:$M$49,B12)),0)),"")</f>
        <v/>
      </c>
      <c r="N12" s="206"/>
      <c r="P12" s="201" t="s">
        <v>202</v>
      </c>
    </row>
    <row r="13" spans="1:18" ht="25.95" customHeight="1">
      <c r="A13" s="256" t="s">
        <v>218</v>
      </c>
      <c r="B13" s="563"/>
      <c r="C13" s="564"/>
      <c r="D13" s="570"/>
      <c r="E13" s="571"/>
      <c r="F13" s="260" t="str">
        <f t="shared" si="1"/>
        <v/>
      </c>
      <c r="G13" s="258"/>
      <c r="H13" s="259" t="str">
        <f t="shared" si="2"/>
        <v/>
      </c>
      <c r="I13" s="255" t="str">
        <f t="shared" si="0"/>
        <v/>
      </c>
      <c r="J13" s="203"/>
      <c r="K13" s="209" t="str" cm="1">
        <f t="array" ref="K13">IFERROR(INDEX(物件概要!$L$3:$L$50,MATCH(1,(物件概要!$K$3:$K$50&lt;&gt;"")*ISNUMBER(SEARCH(物件概要!$K$3:$K$50,B13)),0)),IFERROR(INDEX('物件概要(2)'!$L$3:$L$49,MATCH(1,('物件概要(2)'!$K$3:$K$49&lt;&gt;"")*ISNUMBER(SEARCH('物件概要(2)'!$K$3:$K$49,B13)),0)),""))</f>
        <v/>
      </c>
      <c r="L13" s="206"/>
      <c r="M13" s="211" t="str" cm="1">
        <f t="array" ref="M13">IFERROR(INDEX('物件概要(2)'!$N$3:$N$49,MATCH(1,('物件概要(2)'!$M$3:$M$49&lt;&gt;"")*ISNUMBER(SEARCH('物件概要(2)'!$M$3:$M$49,B13)),0)),"")</f>
        <v/>
      </c>
      <c r="N13" s="206"/>
      <c r="P13" s="201" t="s">
        <v>204</v>
      </c>
    </row>
    <row r="14" spans="1:18" ht="25.95" customHeight="1">
      <c r="A14" s="256" t="s">
        <v>218</v>
      </c>
      <c r="B14" s="563"/>
      <c r="C14" s="564"/>
      <c r="D14" s="570"/>
      <c r="E14" s="571"/>
      <c r="F14" s="260" t="str">
        <f t="shared" si="1"/>
        <v/>
      </c>
      <c r="G14" s="258"/>
      <c r="H14" s="259" t="str">
        <f t="shared" si="2"/>
        <v/>
      </c>
      <c r="I14" s="255" t="str">
        <f t="shared" si="0"/>
        <v/>
      </c>
      <c r="J14" s="203"/>
      <c r="K14" s="209" t="str" cm="1">
        <f t="array" ref="K14">IFERROR(INDEX(物件概要!$L$3:$L$50,MATCH(1,(物件概要!$K$3:$K$50&lt;&gt;"")*ISNUMBER(SEARCH(物件概要!$K$3:$K$50,B14)),0)),IFERROR(INDEX('物件概要(2)'!$L$3:$L$49,MATCH(1,('物件概要(2)'!$K$3:$K$49&lt;&gt;"")*ISNUMBER(SEARCH('物件概要(2)'!$K$3:$K$49,B14)),0)),""))</f>
        <v/>
      </c>
      <c r="L14" s="206"/>
      <c r="M14" s="211" t="str" cm="1">
        <f t="array" ref="M14">IFERROR(INDEX('物件概要(2)'!$N$3:$N$49,MATCH(1,('物件概要(2)'!$M$3:$M$49&lt;&gt;"")*ISNUMBER(SEARCH('物件概要(2)'!$M$3:$M$49,B14)),0)),"")</f>
        <v/>
      </c>
      <c r="N14" s="206"/>
      <c r="P14" s="201" t="s">
        <v>205</v>
      </c>
    </row>
    <row r="15" spans="1:18" ht="25.95" customHeight="1">
      <c r="A15" s="256" t="s">
        <v>218</v>
      </c>
      <c r="B15" s="563"/>
      <c r="C15" s="564"/>
      <c r="D15" s="570"/>
      <c r="E15" s="571"/>
      <c r="F15" s="260" t="str">
        <f t="shared" si="1"/>
        <v/>
      </c>
      <c r="G15" s="258"/>
      <c r="H15" s="259" t="str">
        <f t="shared" si="2"/>
        <v/>
      </c>
      <c r="I15" s="255" t="str">
        <f t="shared" si="0"/>
        <v/>
      </c>
      <c r="J15" s="203"/>
      <c r="K15" s="209" t="str" cm="1">
        <f t="array" ref="K15">IFERROR(INDEX(物件概要!$L$3:$L$50,MATCH(1,(物件概要!$K$3:$K$50&lt;&gt;"")*ISNUMBER(SEARCH(物件概要!$K$3:$K$50,B15)),0)),IFERROR(INDEX('物件概要(2)'!$L$3:$L$49,MATCH(1,('物件概要(2)'!$K$3:$K$49&lt;&gt;"")*ISNUMBER(SEARCH('物件概要(2)'!$K$3:$K$49,B15)),0)),""))</f>
        <v/>
      </c>
      <c r="L15" s="206"/>
      <c r="M15" s="211" t="str" cm="1">
        <f t="array" ref="M15">IFERROR(INDEX('物件概要(2)'!$N$3:$N$49,MATCH(1,('物件概要(2)'!$M$3:$M$49&lt;&gt;"")*ISNUMBER(SEARCH('物件概要(2)'!$M$3:$M$49,B15)),0)),"")</f>
        <v/>
      </c>
      <c r="N15" s="206"/>
      <c r="P15" s="201" t="s">
        <v>206</v>
      </c>
    </row>
    <row r="16" spans="1:18" ht="25.95" customHeight="1">
      <c r="A16" s="256" t="s">
        <v>218</v>
      </c>
      <c r="B16" s="563"/>
      <c r="C16" s="564"/>
      <c r="D16" s="570"/>
      <c r="E16" s="571"/>
      <c r="F16" s="260" t="str">
        <f t="shared" si="1"/>
        <v/>
      </c>
      <c r="G16" s="258"/>
      <c r="H16" s="259" t="str">
        <f t="shared" si="2"/>
        <v/>
      </c>
      <c r="I16" s="255" t="str">
        <f t="shared" si="0"/>
        <v/>
      </c>
      <c r="J16" s="203"/>
      <c r="K16" s="209" t="str" cm="1">
        <f t="array" ref="K16">IFERROR(INDEX(物件概要!$L$3:$L$50,MATCH(1,(物件概要!$K$3:$K$50&lt;&gt;"")*ISNUMBER(SEARCH(物件概要!$K$3:$K$50,B16)),0)),IFERROR(INDEX('物件概要(2)'!$L$3:$L$49,MATCH(1,('物件概要(2)'!$K$3:$K$49&lt;&gt;"")*ISNUMBER(SEARCH('物件概要(2)'!$K$3:$K$49,B16)),0)),""))</f>
        <v/>
      </c>
      <c r="L16" s="206"/>
      <c r="M16" s="211" t="str" cm="1">
        <f t="array" ref="M16">IFERROR(INDEX('物件概要(2)'!$N$3:$N$49,MATCH(1,('物件概要(2)'!$M$3:$M$49&lt;&gt;"")*ISNUMBER(SEARCH('物件概要(2)'!$M$3:$M$49,B16)),0)),"")</f>
        <v/>
      </c>
      <c r="N16" s="206"/>
      <c r="P16" s="201" t="s">
        <v>207</v>
      </c>
    </row>
    <row r="17" spans="1:16" ht="25.95" customHeight="1">
      <c r="A17" s="256" t="s">
        <v>218</v>
      </c>
      <c r="B17" s="563"/>
      <c r="C17" s="564"/>
      <c r="D17" s="570"/>
      <c r="E17" s="571"/>
      <c r="F17" s="260" t="str">
        <f t="shared" si="1"/>
        <v/>
      </c>
      <c r="G17" s="258"/>
      <c r="H17" s="259" t="str">
        <f t="shared" si="2"/>
        <v/>
      </c>
      <c r="I17" s="255" t="str">
        <f t="shared" si="0"/>
        <v/>
      </c>
      <c r="J17" s="203"/>
      <c r="K17" s="209" t="str" cm="1">
        <f t="array" ref="K17">IFERROR(INDEX(物件概要!$L$3:$L$50,MATCH(1,(物件概要!$K$3:$K$50&lt;&gt;"")*ISNUMBER(SEARCH(物件概要!$K$3:$K$50,B17)),0)),IFERROR(INDEX('物件概要(2)'!$L$3:$L$49,MATCH(1,('物件概要(2)'!$K$3:$K$49&lt;&gt;"")*ISNUMBER(SEARCH('物件概要(2)'!$K$3:$K$49,B17)),0)),""))</f>
        <v/>
      </c>
      <c r="L17" s="206"/>
      <c r="M17" s="211" t="str" cm="1">
        <f t="array" ref="M17">IFERROR(INDEX('物件概要(2)'!$N$3:$N$49,MATCH(1,('物件概要(2)'!$M$3:$M$49&lt;&gt;"")*ISNUMBER(SEARCH('物件概要(2)'!$M$3:$M$49,B17)),0)),"")</f>
        <v/>
      </c>
      <c r="N17" s="206"/>
      <c r="P17" s="201" t="s">
        <v>203</v>
      </c>
    </row>
    <row r="18" spans="1:16" ht="25.95" customHeight="1">
      <c r="A18" s="256" t="s">
        <v>218</v>
      </c>
      <c r="B18" s="563"/>
      <c r="C18" s="564"/>
      <c r="D18" s="570"/>
      <c r="E18" s="571"/>
      <c r="F18" s="260" t="str">
        <f t="shared" si="1"/>
        <v/>
      </c>
      <c r="G18" s="258"/>
      <c r="H18" s="259" t="str">
        <f t="shared" si="2"/>
        <v/>
      </c>
      <c r="I18" s="255" t="str">
        <f t="shared" si="0"/>
        <v/>
      </c>
      <c r="J18" s="203"/>
      <c r="K18" s="209" t="str" cm="1">
        <f t="array" ref="K18">IFERROR(INDEX(物件概要!$L$3:$L$50,MATCH(1,(物件概要!$K$3:$K$50&lt;&gt;"")*ISNUMBER(SEARCH(物件概要!$K$3:$K$50,B18)),0)),IFERROR(INDEX('物件概要(2)'!$L$3:$L$49,MATCH(1,('物件概要(2)'!$K$3:$K$49&lt;&gt;"")*ISNUMBER(SEARCH('物件概要(2)'!$K$3:$K$49,B18)),0)),""))</f>
        <v/>
      </c>
      <c r="L18" s="206"/>
      <c r="M18" s="211" t="str" cm="1">
        <f t="array" ref="M18">IFERROR(INDEX('物件概要(2)'!$N$3:$N$49,MATCH(1,('物件概要(2)'!$M$3:$M$49&lt;&gt;"")*ISNUMBER(SEARCH('物件概要(2)'!$M$3:$M$49,B18)),0)),"")</f>
        <v/>
      </c>
      <c r="N18" s="206"/>
      <c r="P18" s="201" t="s">
        <v>208</v>
      </c>
    </row>
    <row r="19" spans="1:16" ht="25.95" customHeight="1">
      <c r="A19" s="256" t="s">
        <v>218</v>
      </c>
      <c r="B19" s="563"/>
      <c r="C19" s="564"/>
      <c r="D19" s="570"/>
      <c r="E19" s="571"/>
      <c r="F19" s="260" t="str">
        <f t="shared" si="1"/>
        <v/>
      </c>
      <c r="G19" s="258"/>
      <c r="H19" s="259" t="str">
        <f t="shared" si="2"/>
        <v/>
      </c>
      <c r="I19" s="255" t="str">
        <f t="shared" si="0"/>
        <v/>
      </c>
      <c r="J19" s="203"/>
      <c r="K19" s="209" t="str" cm="1">
        <f t="array" ref="K19">IFERROR(INDEX(物件概要!$L$3:$L$50,MATCH(1,(物件概要!$K$3:$K$50&lt;&gt;"")*ISNUMBER(SEARCH(物件概要!$K$3:$K$50,B19)),0)),IFERROR(INDEX('物件概要(2)'!$L$3:$L$49,MATCH(1,('物件概要(2)'!$K$3:$K$49&lt;&gt;"")*ISNUMBER(SEARCH('物件概要(2)'!$K$3:$K$49,B19)),0)),""))</f>
        <v/>
      </c>
      <c r="L19" s="206"/>
      <c r="M19" s="211" t="str" cm="1">
        <f t="array" ref="M19">IFERROR(INDEX('物件概要(2)'!$N$3:$N$49,MATCH(1,('物件概要(2)'!$M$3:$M$49&lt;&gt;"")*ISNUMBER(SEARCH('物件概要(2)'!$M$3:$M$49,B19)),0)),"")</f>
        <v/>
      </c>
      <c r="N19" s="206"/>
      <c r="P19" s="201" t="s">
        <v>209</v>
      </c>
    </row>
    <row r="20" spans="1:16" ht="25.95" customHeight="1">
      <c r="A20" s="256" t="s">
        <v>218</v>
      </c>
      <c r="B20" s="563"/>
      <c r="C20" s="564"/>
      <c r="D20" s="570"/>
      <c r="E20" s="571"/>
      <c r="F20" s="260" t="str">
        <f t="shared" si="1"/>
        <v/>
      </c>
      <c r="G20" s="258"/>
      <c r="H20" s="259" t="str">
        <f t="shared" si="2"/>
        <v/>
      </c>
      <c r="I20" s="255" t="str">
        <f t="shared" si="0"/>
        <v/>
      </c>
      <c r="J20" s="203"/>
      <c r="K20" s="209" t="str" cm="1">
        <f t="array" ref="K20">IFERROR(INDEX(物件概要!$L$3:$L$50,MATCH(1,(物件概要!$K$3:$K$50&lt;&gt;"")*ISNUMBER(SEARCH(物件概要!$K$3:$K$50,B20)),0)),IFERROR(INDEX('物件概要(2)'!$L$3:$L$49,MATCH(1,('物件概要(2)'!$K$3:$K$49&lt;&gt;"")*ISNUMBER(SEARCH('物件概要(2)'!$K$3:$K$49,B20)),0)),""))</f>
        <v/>
      </c>
      <c r="L20" s="206"/>
      <c r="M20" s="211" t="str" cm="1">
        <f t="array" ref="M20">IFERROR(INDEX('物件概要(2)'!$N$3:$N$49,MATCH(1,('物件概要(2)'!$M$3:$M$49&lt;&gt;"")*ISNUMBER(SEARCH('物件概要(2)'!$M$3:$M$49,B20)),0)),"")</f>
        <v/>
      </c>
      <c r="N20" s="206"/>
      <c r="P20" s="201" t="s">
        <v>210</v>
      </c>
    </row>
    <row r="21" spans="1:16" ht="25.95" customHeight="1">
      <c r="A21" s="256" t="s">
        <v>218</v>
      </c>
      <c r="B21" s="563"/>
      <c r="C21" s="564"/>
      <c r="D21" s="570"/>
      <c r="E21" s="571"/>
      <c r="F21" s="260" t="str">
        <f t="shared" si="1"/>
        <v/>
      </c>
      <c r="G21" s="258"/>
      <c r="H21" s="259" t="str">
        <f t="shared" si="2"/>
        <v/>
      </c>
      <c r="I21" s="255" t="str">
        <f t="shared" si="0"/>
        <v/>
      </c>
      <c r="J21" s="203"/>
      <c r="K21" s="209" t="str" cm="1">
        <f t="array" ref="K21">IFERROR(INDEX(物件概要!$L$3:$L$50,MATCH(1,(物件概要!$K$3:$K$50&lt;&gt;"")*ISNUMBER(SEARCH(物件概要!$K$3:$K$50,B21)),0)),IFERROR(INDEX('物件概要(2)'!$L$3:$L$49,MATCH(1,('物件概要(2)'!$K$3:$K$49&lt;&gt;"")*ISNUMBER(SEARCH('物件概要(2)'!$K$3:$K$49,B21)),0)),""))</f>
        <v/>
      </c>
      <c r="L21" s="206"/>
      <c r="M21" s="211" t="str" cm="1">
        <f t="array" ref="M21">IFERROR(INDEX('物件概要(2)'!$N$3:$N$49,MATCH(1,('物件概要(2)'!$M$3:$M$49&lt;&gt;"")*ISNUMBER(SEARCH('物件概要(2)'!$M$3:$M$49,B21)),0)),"")</f>
        <v/>
      </c>
      <c r="N21" s="206"/>
      <c r="P21" s="201" t="s">
        <v>211</v>
      </c>
    </row>
    <row r="22" spans="1:16" ht="25.95" customHeight="1">
      <c r="A22" s="256" t="s">
        <v>218</v>
      </c>
      <c r="B22" s="563"/>
      <c r="C22" s="564"/>
      <c r="D22" s="570"/>
      <c r="E22" s="571"/>
      <c r="F22" s="260" t="str">
        <f t="shared" si="1"/>
        <v/>
      </c>
      <c r="G22" s="258"/>
      <c r="H22" s="259" t="str">
        <f t="shared" si="2"/>
        <v/>
      </c>
      <c r="I22" s="255" t="str">
        <f t="shared" si="0"/>
        <v/>
      </c>
      <c r="J22" s="203"/>
      <c r="K22" s="209" t="str" cm="1">
        <f t="array" ref="K22">IFERROR(INDEX(物件概要!$L$3:$L$50,MATCH(1,(物件概要!$K$3:$K$50&lt;&gt;"")*ISNUMBER(SEARCH(物件概要!$K$3:$K$50,B22)),0)),IFERROR(INDEX('物件概要(2)'!$L$3:$L$49,MATCH(1,('物件概要(2)'!$K$3:$K$49&lt;&gt;"")*ISNUMBER(SEARCH('物件概要(2)'!$K$3:$K$49,B22)),0)),""))</f>
        <v/>
      </c>
      <c r="L22" s="206"/>
      <c r="M22" s="211" t="str" cm="1">
        <f t="array" ref="M22">IFERROR(INDEX('物件概要(2)'!$N$3:$N$49,MATCH(1,('物件概要(2)'!$M$3:$M$49&lt;&gt;"")*ISNUMBER(SEARCH('物件概要(2)'!$M$3:$M$49,B22)),0)),"")</f>
        <v/>
      </c>
      <c r="N22" s="206"/>
      <c r="P22" s="201" t="s">
        <v>212</v>
      </c>
    </row>
    <row r="23" spans="1:16" ht="25.95" customHeight="1">
      <c r="A23" s="256" t="s">
        <v>218</v>
      </c>
      <c r="B23" s="563"/>
      <c r="C23" s="564"/>
      <c r="D23" s="570"/>
      <c r="E23" s="571"/>
      <c r="F23" s="260" t="str">
        <f t="shared" si="1"/>
        <v/>
      </c>
      <c r="G23" s="258"/>
      <c r="H23" s="259" t="str">
        <f t="shared" si="2"/>
        <v/>
      </c>
      <c r="I23" s="255" t="str">
        <f t="shared" si="0"/>
        <v/>
      </c>
      <c r="J23" s="203"/>
      <c r="K23" s="209" t="str" cm="1">
        <f t="array" ref="K23">IFERROR(INDEX(物件概要!$L$3:$L$50,MATCH(1,(物件概要!$K$3:$K$50&lt;&gt;"")*ISNUMBER(SEARCH(物件概要!$K$3:$K$50,B23)),0)),IFERROR(INDEX('物件概要(2)'!$L$3:$L$49,MATCH(1,('物件概要(2)'!$K$3:$K$49&lt;&gt;"")*ISNUMBER(SEARCH('物件概要(2)'!$K$3:$K$49,B23)),0)),""))</f>
        <v/>
      </c>
      <c r="L23" s="206"/>
      <c r="M23" s="211" t="str" cm="1">
        <f t="array" ref="M23">IFERROR(INDEX('物件概要(2)'!$N$3:$N$49,MATCH(1,('物件概要(2)'!$M$3:$M$49&lt;&gt;"")*ISNUMBER(SEARCH('物件概要(2)'!$M$3:$M$49,B23)),0)),"")</f>
        <v/>
      </c>
      <c r="N23" s="206"/>
      <c r="P23" s="201" t="s">
        <v>213</v>
      </c>
    </row>
    <row r="24" spans="1:16" ht="25.95" customHeight="1">
      <c r="A24" s="256" t="s">
        <v>218</v>
      </c>
      <c r="B24" s="563"/>
      <c r="C24" s="564"/>
      <c r="D24" s="570"/>
      <c r="E24" s="571"/>
      <c r="F24" s="260" t="str">
        <f t="shared" si="1"/>
        <v/>
      </c>
      <c r="G24" s="258"/>
      <c r="H24" s="259" t="str">
        <f t="shared" si="2"/>
        <v/>
      </c>
      <c r="I24" s="255" t="str">
        <f t="shared" si="0"/>
        <v/>
      </c>
      <c r="J24" s="203"/>
      <c r="K24" s="209" t="str" cm="1">
        <f t="array" ref="K24">IFERROR(INDEX(物件概要!$L$3:$L$50,MATCH(1,(物件概要!$K$3:$K$50&lt;&gt;"")*ISNUMBER(SEARCH(物件概要!$K$3:$K$50,B24)),0)),IFERROR(INDEX('物件概要(2)'!$L$3:$L$49,MATCH(1,('物件概要(2)'!$K$3:$K$49&lt;&gt;"")*ISNUMBER(SEARCH('物件概要(2)'!$K$3:$K$49,B24)),0)),""))</f>
        <v/>
      </c>
      <c r="L24" s="206"/>
      <c r="M24" s="211" t="str" cm="1">
        <f t="array" ref="M24">IFERROR(INDEX('物件概要(2)'!$N$3:$N$49,MATCH(1,('物件概要(2)'!$M$3:$M$49&lt;&gt;"")*ISNUMBER(SEARCH('物件概要(2)'!$M$3:$M$49,B24)),0)),"")</f>
        <v/>
      </c>
      <c r="N24" s="206"/>
      <c r="P24" s="201" t="s">
        <v>214</v>
      </c>
    </row>
    <row r="25" spans="1:16" ht="25.95" customHeight="1">
      <c r="A25" s="256" t="s">
        <v>218</v>
      </c>
      <c r="B25" s="563"/>
      <c r="C25" s="564"/>
      <c r="D25" s="570"/>
      <c r="E25" s="571"/>
      <c r="F25" s="260" t="str">
        <f t="shared" si="1"/>
        <v/>
      </c>
      <c r="G25" s="258"/>
      <c r="H25" s="259" t="str">
        <f t="shared" si="2"/>
        <v/>
      </c>
      <c r="I25" s="255" t="str">
        <f t="shared" si="0"/>
        <v/>
      </c>
      <c r="J25" s="203"/>
      <c r="K25" s="209" t="str" cm="1">
        <f t="array" ref="K25">IFERROR(INDEX(物件概要!$L$3:$L$50,MATCH(1,(物件概要!$K$3:$K$50&lt;&gt;"")*ISNUMBER(SEARCH(物件概要!$K$3:$K$50,B25)),0)),IFERROR(INDEX('物件概要(2)'!$L$3:$L$49,MATCH(1,('物件概要(2)'!$K$3:$K$49&lt;&gt;"")*ISNUMBER(SEARCH('物件概要(2)'!$K$3:$K$49,B25)),0)),""))</f>
        <v/>
      </c>
      <c r="L25" s="206"/>
      <c r="M25" s="211" t="str" cm="1">
        <f t="array" ref="M25">IFERROR(INDEX('物件概要(2)'!$N$3:$N$49,MATCH(1,('物件概要(2)'!$M$3:$M$49&lt;&gt;"")*ISNUMBER(SEARCH('物件概要(2)'!$M$3:$M$49,B25)),0)),"")</f>
        <v/>
      </c>
      <c r="N25" s="206"/>
      <c r="P25" s="201" t="s">
        <v>215</v>
      </c>
    </row>
    <row r="26" spans="1:16" ht="25.95" customHeight="1">
      <c r="A26" s="256" t="s">
        <v>218</v>
      </c>
      <c r="B26" s="563"/>
      <c r="C26" s="564"/>
      <c r="D26" s="570"/>
      <c r="E26" s="571"/>
      <c r="F26" s="260" t="str">
        <f t="shared" si="1"/>
        <v/>
      </c>
      <c r="G26" s="258"/>
      <c r="H26" s="259" t="str">
        <f t="shared" si="2"/>
        <v/>
      </c>
      <c r="I26" s="255" t="str">
        <f t="shared" si="0"/>
        <v/>
      </c>
      <c r="J26" s="203"/>
      <c r="K26" s="209" t="str" cm="1">
        <f t="array" ref="K26">IFERROR(INDEX(物件概要!$L$3:$L$50,MATCH(1,(物件概要!$K$3:$K$50&lt;&gt;"")*ISNUMBER(SEARCH(物件概要!$K$3:$K$50,B26)),0)),IFERROR(INDEX('物件概要(2)'!$L$3:$L$49,MATCH(1,('物件概要(2)'!$K$3:$K$49&lt;&gt;"")*ISNUMBER(SEARCH('物件概要(2)'!$K$3:$K$49,B26)),0)),""))</f>
        <v/>
      </c>
      <c r="L26" s="206"/>
      <c r="M26" s="211" t="str" cm="1">
        <f t="array" ref="M26">IFERROR(INDEX('物件概要(2)'!$N$3:$N$49,MATCH(1,('物件概要(2)'!$M$3:$M$49&lt;&gt;"")*ISNUMBER(SEARCH('物件概要(2)'!$M$3:$M$49,B26)),0)),"")</f>
        <v/>
      </c>
      <c r="N26" s="206"/>
      <c r="P26" s="201" t="s">
        <v>216</v>
      </c>
    </row>
    <row r="27" spans="1:16" ht="25.95" customHeight="1">
      <c r="A27" s="256" t="s">
        <v>218</v>
      </c>
      <c r="B27" s="563"/>
      <c r="C27" s="564"/>
      <c r="D27" s="570"/>
      <c r="E27" s="571"/>
      <c r="F27" s="260" t="str">
        <f t="shared" si="1"/>
        <v/>
      </c>
      <c r="G27" s="258"/>
      <c r="H27" s="259" t="str">
        <f t="shared" si="2"/>
        <v/>
      </c>
      <c r="I27" s="255" t="str">
        <f t="shared" si="0"/>
        <v/>
      </c>
      <c r="J27" s="203"/>
      <c r="K27" s="209" t="str" cm="1">
        <f t="array" ref="K27">IFERROR(INDEX(物件概要!$L$3:$L$50,MATCH(1,(物件概要!$K$3:$K$50&lt;&gt;"")*ISNUMBER(SEARCH(物件概要!$K$3:$K$50,B27)),0)),IFERROR(INDEX('物件概要(2)'!$L$3:$L$49,MATCH(1,('物件概要(2)'!$K$3:$K$49&lt;&gt;"")*ISNUMBER(SEARCH('物件概要(2)'!$K$3:$K$49,B27)),0)),""))</f>
        <v/>
      </c>
      <c r="L27" s="206"/>
      <c r="M27" s="211" t="str" cm="1">
        <f t="array" ref="M27">IFERROR(INDEX('物件概要(2)'!$N$3:$N$49,MATCH(1,('物件概要(2)'!$M$3:$M$49&lt;&gt;"")*ISNUMBER(SEARCH('物件概要(2)'!$M$3:$M$49,B27)),0)),"")</f>
        <v/>
      </c>
      <c r="N27" s="206"/>
      <c r="P27" s="201" t="s">
        <v>217</v>
      </c>
    </row>
    <row r="28" spans="1:16" ht="25.95" customHeight="1">
      <c r="A28" s="262" t="s">
        <v>218</v>
      </c>
      <c r="B28" s="565"/>
      <c r="C28" s="566"/>
      <c r="D28" s="572"/>
      <c r="E28" s="573"/>
      <c r="F28" s="263" t="str">
        <f t="shared" si="1"/>
        <v/>
      </c>
      <c r="G28" s="264"/>
      <c r="H28" s="265" t="str">
        <f t="shared" si="2"/>
        <v/>
      </c>
      <c r="I28" s="266" t="str">
        <f t="shared" si="0"/>
        <v/>
      </c>
      <c r="J28" s="203"/>
      <c r="K28" s="209" t="str" cm="1">
        <f t="array" ref="K28">IFERROR(INDEX(物件概要!$L$3:$L$50,MATCH(1,(物件概要!$K$3:$K$50&lt;&gt;"")*ISNUMBER(SEARCH(物件概要!$K$3:$K$50,B28)),0)),IFERROR(INDEX('物件概要(2)'!$L$3:$L$49,MATCH(1,('物件概要(2)'!$K$3:$K$49&lt;&gt;"")*ISNUMBER(SEARCH('物件概要(2)'!$K$3:$K$49,B28)),0)),""))</f>
        <v/>
      </c>
      <c r="L28" s="206"/>
      <c r="M28" s="211" t="str" cm="1">
        <f t="array" ref="M28">IFERROR(INDEX('物件概要(2)'!$N$3:$N$49,MATCH(1,('物件概要(2)'!$M$3:$M$49&lt;&gt;"")*ISNUMBER(SEARCH('物件概要(2)'!$M$3:$M$49,B28)),0)),"")</f>
        <v/>
      </c>
      <c r="N28" s="206"/>
    </row>
    <row r="29" spans="1:16" ht="20.100000000000001" customHeight="1">
      <c r="A29" s="231"/>
      <c r="B29" s="555"/>
      <c r="C29" s="555"/>
      <c r="D29" s="556"/>
      <c r="E29" s="179"/>
      <c r="F29" s="4"/>
      <c r="G29" s="4"/>
      <c r="H29" s="4"/>
      <c r="I29" s="212">
        <f>SUM(I5:I28)</f>
        <v>0</v>
      </c>
      <c r="J29" s="203"/>
    </row>
    <row r="30" spans="1:16" ht="20.100000000000001" customHeight="1">
      <c r="A30" s="549"/>
      <c r="B30" s="550"/>
      <c r="J30" s="203"/>
    </row>
    <row r="31" spans="1:16" ht="20.100000000000001" customHeight="1">
      <c r="A31" s="551"/>
      <c r="B31" s="552"/>
      <c r="C31" s="540"/>
      <c r="D31" s="541"/>
      <c r="E31" s="541"/>
      <c r="F31" s="541"/>
      <c r="G31" s="541"/>
      <c r="H31" s="541"/>
      <c r="I31" s="542"/>
      <c r="J31" s="203"/>
    </row>
    <row r="32" spans="1:16" ht="19.95" customHeight="1">
      <c r="A32" s="553"/>
      <c r="B32" s="554"/>
      <c r="C32" s="546"/>
      <c r="D32" s="547"/>
      <c r="E32" s="547"/>
      <c r="F32" s="547"/>
      <c r="G32" s="547"/>
      <c r="H32" s="547"/>
      <c r="I32" s="548"/>
      <c r="J32" s="203"/>
    </row>
    <row r="33" spans="1:16" ht="20.100000000000001" customHeight="1">
      <c r="A33" s="232"/>
      <c r="B33" s="181"/>
      <c r="C33" s="181"/>
      <c r="D33" s="5"/>
      <c r="E33" s="5"/>
      <c r="F33" s="5"/>
      <c r="G33" s="5"/>
      <c r="H33" s="5"/>
      <c r="I33" s="5"/>
      <c r="J33" s="203"/>
    </row>
    <row r="34" spans="1:16" ht="20.100000000000001" customHeight="1">
      <c r="A34" s="233"/>
      <c r="B34" s="182"/>
      <c r="C34" s="182"/>
      <c r="D34" s="6"/>
      <c r="E34" s="6"/>
      <c r="F34" s="6"/>
      <c r="G34" s="6"/>
      <c r="H34" s="6"/>
      <c r="I34" s="6"/>
    </row>
    <row r="35" spans="1:16" ht="20.100000000000001" customHeight="1">
      <c r="A35" s="201"/>
      <c r="B35" s="183"/>
      <c r="C35" s="183"/>
      <c r="D35" s="1"/>
      <c r="E35" s="1"/>
      <c r="F35" s="1"/>
      <c r="G35" s="1"/>
      <c r="H35" s="1"/>
      <c r="I35" s="1"/>
    </row>
    <row r="36" spans="1:16" ht="20.100000000000001" customHeight="1"/>
    <row r="37" spans="1:16" ht="20.100000000000001" customHeight="1"/>
    <row r="38" spans="1:16" ht="20.100000000000001" customHeight="1"/>
    <row r="39" spans="1:16" ht="20.100000000000001" customHeight="1"/>
    <row r="40" spans="1:16" s="1" customFormat="1" ht="20.100000000000001" customHeight="1">
      <c r="A40" s="201"/>
      <c r="B40" s="183"/>
      <c r="C40" s="183"/>
      <c r="K40" s="210"/>
      <c r="M40" s="210"/>
      <c r="P40" s="201"/>
    </row>
    <row r="41" spans="1:16" s="1" customFormat="1" ht="20.100000000000001" customHeight="1">
      <c r="A41" s="201"/>
      <c r="B41" s="207"/>
      <c r="C41" s="207"/>
      <c r="D41" s="18"/>
      <c r="E41" s="18"/>
      <c r="F41" s="18"/>
      <c r="G41" s="18"/>
      <c r="H41" s="18"/>
      <c r="I41" s="18"/>
      <c r="K41" s="210"/>
      <c r="M41" s="210"/>
      <c r="P41" s="201"/>
    </row>
    <row r="42" spans="1:16" ht="18"/>
    <row r="43" spans="1:16" ht="18"/>
    <row r="44" spans="1:16" ht="18"/>
    <row r="45" spans="1:16" ht="18"/>
    <row r="46" spans="1:16" ht="18"/>
    <row r="47" spans="1:16" ht="18"/>
    <row r="48" spans="1:16" ht="18"/>
    <row r="49" spans="11:11" ht="18"/>
    <row r="50" spans="11:11" ht="18"/>
    <row r="51" spans="11:11" ht="18"/>
    <row r="63" spans="11:11" ht="19.8">
      <c r="K63" s="210"/>
    </row>
    <row r="64" spans="11:11" ht="19.8">
      <c r="K64" s="210"/>
    </row>
    <row r="65" spans="11:11" ht="19.8">
      <c r="K65" s="210"/>
    </row>
  </sheetData>
  <mergeCells count="55">
    <mergeCell ref="D24:E24"/>
    <mergeCell ref="D25:E25"/>
    <mergeCell ref="D26:E26"/>
    <mergeCell ref="D27:E27"/>
    <mergeCell ref="D28:E28"/>
    <mergeCell ref="D19:E19"/>
    <mergeCell ref="D20:E20"/>
    <mergeCell ref="D21:E21"/>
    <mergeCell ref="D22:E22"/>
    <mergeCell ref="D23:E23"/>
    <mergeCell ref="D14:E14"/>
    <mergeCell ref="D15:E15"/>
    <mergeCell ref="D16:E16"/>
    <mergeCell ref="D17:E17"/>
    <mergeCell ref="D18:E18"/>
    <mergeCell ref="B25:C25"/>
    <mergeCell ref="B26:C26"/>
    <mergeCell ref="B27:C27"/>
    <mergeCell ref="B28:C28"/>
    <mergeCell ref="B2:D2"/>
    <mergeCell ref="D4:E4"/>
    <mergeCell ref="D5:E5"/>
    <mergeCell ref="D6:E6"/>
    <mergeCell ref="D7:E7"/>
    <mergeCell ref="D8:E8"/>
    <mergeCell ref="D9:E9"/>
    <mergeCell ref="D10:E10"/>
    <mergeCell ref="D11:E11"/>
    <mergeCell ref="D12:E12"/>
    <mergeCell ref="D13:E13"/>
    <mergeCell ref="B20:C20"/>
    <mergeCell ref="B14:C14"/>
    <mergeCell ref="B21:C21"/>
    <mergeCell ref="B22:C22"/>
    <mergeCell ref="B23:C23"/>
    <mergeCell ref="B24:C24"/>
    <mergeCell ref="B15:C15"/>
    <mergeCell ref="B16:C16"/>
    <mergeCell ref="B17:C17"/>
    <mergeCell ref="B18:C18"/>
    <mergeCell ref="B19:C19"/>
    <mergeCell ref="B8:C8"/>
    <mergeCell ref="B9:C9"/>
    <mergeCell ref="B11:C11"/>
    <mergeCell ref="B12:C12"/>
    <mergeCell ref="B13:C13"/>
    <mergeCell ref="A1:I1"/>
    <mergeCell ref="A4:C4"/>
    <mergeCell ref="B5:C5"/>
    <mergeCell ref="B6:C6"/>
    <mergeCell ref="B7:C7"/>
    <mergeCell ref="C31:I31"/>
    <mergeCell ref="C32:I32"/>
    <mergeCell ref="A30:B32"/>
    <mergeCell ref="B29:D29"/>
  </mergeCells>
  <phoneticPr fontId="12"/>
  <dataValidations count="3">
    <dataValidation type="list" allowBlank="1" showInputMessage="1" showErrorMessage="1" sqref="B2" xr:uid="{DFF8B026-71AC-49C4-B725-68F7068DA337}">
      <formula1>項目</formula1>
    </dataValidation>
    <dataValidation type="list" allowBlank="1" sqref="G5:G28" xr:uid="{BCCEFC55-E521-4B42-A7AA-D6326E37A138}">
      <formula1>"㎡,m,式,箇所,基,台,個,段"</formula1>
    </dataValidation>
    <dataValidation type="list" allowBlank="1" sqref="B5:B9 B11:B28" xr:uid="{AA55A688-8DCC-42DD-A4CD-1BB3A2131500}">
      <formula1>"）仮設工事関係,）災害防止関係,）養生工事関係,）素地調整関係,）補修工事関係,）シーリング工事関係,）塗装工事関係,）防水工事関係,）タイル工事関係,）左官工事関係,）内装工事関係,）建具工事関係,）設備工事関係,）電気工事関係,）外構工事関係,）解体工事関係,）美装工事関係,）雑工事関係"</formula1>
    </dataValidation>
  </dataValidations>
  <printOptions horizontalCentered="1" verticalCentered="1"/>
  <pageMargins left="7.874015748031496E-2" right="7.874015748031496E-2" top="0" bottom="0" header="0" footer="0"/>
  <pageSetup paperSize="9" scale="98"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5BA12-E8C3-4991-B199-72CDA9169401}">
  <sheetPr codeName="Sheet4">
    <pageSetUpPr fitToPage="1"/>
  </sheetPr>
  <dimension ref="A1:R65"/>
  <sheetViews>
    <sheetView showGridLines="0" zoomScaleNormal="100" zoomScaleSheetLayoutView="90" workbookViewId="0">
      <selection activeCell="B2" sqref="B2:D2"/>
    </sheetView>
  </sheetViews>
  <sheetFormatPr defaultColWidth="5.59765625" defaultRowHeight="30" customHeight="1"/>
  <cols>
    <col min="1" max="1" width="3.19921875" style="234" customWidth="1"/>
    <col min="2" max="3" width="10.09765625" style="207" customWidth="1"/>
    <col min="4" max="4" width="8.69921875" style="18" customWidth="1"/>
    <col min="5" max="5" width="24.69921875" style="18" customWidth="1"/>
    <col min="6" max="6" width="8" style="179" customWidth="1"/>
    <col min="7" max="7" width="6.69921875" style="179" customWidth="1"/>
    <col min="8" max="8" width="12.3984375" style="18" customWidth="1"/>
    <col min="9" max="9" width="13.19921875" style="18" customWidth="1"/>
    <col min="10" max="10" width="5.59765625" style="18"/>
    <col min="12" max="12" width="8.59765625" style="18" customWidth="1"/>
    <col min="14" max="14" width="8.59765625" style="18" customWidth="1"/>
    <col min="15" max="15" width="5.59765625" style="18"/>
    <col min="16" max="16" width="20.59765625" style="201" customWidth="1"/>
    <col min="17" max="17" width="5.59765625" style="18"/>
    <col min="18" max="18" width="20.09765625" style="179" customWidth="1"/>
    <col min="19" max="16384" width="5.59765625" style="18"/>
  </cols>
  <sheetData>
    <row r="1" spans="1:18">
      <c r="A1" s="495" t="s">
        <v>31</v>
      </c>
      <c r="B1" s="557"/>
      <c r="C1" s="557"/>
      <c r="D1" s="557"/>
      <c r="E1" s="557"/>
      <c r="F1" s="557"/>
      <c r="G1" s="557"/>
      <c r="H1" s="557"/>
      <c r="I1" s="557"/>
      <c r="J1" s="203"/>
      <c r="P1" s="200" t="s">
        <v>30</v>
      </c>
      <c r="R1" s="204"/>
    </row>
    <row r="2" spans="1:18" ht="27" thickBot="1">
      <c r="A2" s="205"/>
      <c r="B2" s="567"/>
      <c r="C2" s="567"/>
      <c r="D2" s="567"/>
      <c r="E2" s="184"/>
      <c r="F2" s="2"/>
      <c r="G2" s="2"/>
      <c r="H2" s="205"/>
      <c r="I2" s="2"/>
      <c r="J2" s="203"/>
      <c r="P2" s="201" t="s">
        <v>154</v>
      </c>
    </row>
    <row r="3" spans="1:18" ht="19.05" customHeight="1" thickTop="1">
      <c r="A3" s="205"/>
      <c r="B3" s="180"/>
      <c r="C3" s="180"/>
      <c r="D3" s="2"/>
      <c r="E3" s="2"/>
      <c r="F3" s="3"/>
      <c r="G3" s="3"/>
      <c r="H3" s="3"/>
      <c r="I3" s="3"/>
      <c r="J3" s="203"/>
      <c r="K3" t="s">
        <v>56</v>
      </c>
      <c r="M3" t="s">
        <v>30</v>
      </c>
      <c r="P3" s="201" t="s">
        <v>193</v>
      </c>
    </row>
    <row r="4" spans="1:18" ht="18.45" customHeight="1">
      <c r="A4" s="558" t="s">
        <v>12</v>
      </c>
      <c r="B4" s="559"/>
      <c r="C4" s="560"/>
      <c r="D4" s="558" t="s">
        <v>24</v>
      </c>
      <c r="E4" s="560"/>
      <c r="F4" s="248" t="s">
        <v>14</v>
      </c>
      <c r="G4" s="247" t="s">
        <v>15</v>
      </c>
      <c r="H4" s="249" t="s">
        <v>16</v>
      </c>
      <c r="I4" s="250" t="s">
        <v>17</v>
      </c>
      <c r="J4" s="203"/>
      <c r="K4" s="208" t="s">
        <v>191</v>
      </c>
      <c r="L4" s="199" t="s">
        <v>192</v>
      </c>
      <c r="M4" s="208" t="s">
        <v>191</v>
      </c>
      <c r="N4" s="199" t="s">
        <v>192</v>
      </c>
      <c r="P4" s="201" t="s">
        <v>194</v>
      </c>
    </row>
    <row r="5" spans="1:18" ht="25.95" customHeight="1">
      <c r="A5" s="251" t="s">
        <v>218</v>
      </c>
      <c r="B5" s="561"/>
      <c r="C5" s="562"/>
      <c r="D5" s="568"/>
      <c r="E5" s="569"/>
      <c r="F5" s="252" t="str">
        <f>IF(L5&lt;&gt;"",L5,K5)</f>
        <v/>
      </c>
      <c r="G5" s="253"/>
      <c r="H5" s="254" t="str">
        <f>IF(N5&lt;&gt;"",N5,M5)</f>
        <v/>
      </c>
      <c r="I5" s="255" t="str">
        <f t="shared" ref="I5:I28" si="0">IFERROR(F5*H5,"")</f>
        <v/>
      </c>
      <c r="J5" s="203"/>
      <c r="K5" s="209" t="str" cm="1">
        <f t="array" ref="K5">IFERROR(INDEX(物件概要!$L$3:$L$50,MATCH(1,(物件概要!$K$3:$K$50&lt;&gt;"")*ISNUMBER(SEARCH(物件概要!$K$3:$K$50,B5)),0)),IFERROR(INDEX('物件概要(2)'!$L$3:$L$49,MATCH(1,('物件概要(2)'!$K$3:$K$49&lt;&gt;"")*ISNUMBER(SEARCH('物件概要(2)'!$K$3:$K$49,B5)),0)),""))</f>
        <v/>
      </c>
      <c r="L5" s="206"/>
      <c r="M5" s="211" t="str" cm="1">
        <f t="array" ref="M5">IFERROR(INDEX('物件概要(2)'!$N$3:$N$49,MATCH(1,('物件概要(2)'!$M$3:$M$49&lt;&gt;"")*ISNUMBER(SEARCH('物件概要(2)'!$M$3:$M$49,B5)),0)),"")</f>
        <v/>
      </c>
      <c r="N5" s="206"/>
      <c r="P5" s="201" t="s">
        <v>195</v>
      </c>
    </row>
    <row r="6" spans="1:18" ht="25.95" customHeight="1">
      <c r="A6" s="256" t="s">
        <v>218</v>
      </c>
      <c r="B6" s="563"/>
      <c r="C6" s="564"/>
      <c r="D6" s="570"/>
      <c r="E6" s="571"/>
      <c r="F6" s="257" t="str">
        <f t="shared" ref="F6:F28" si="1">IF(L6&lt;&gt;"",L6,K6)</f>
        <v/>
      </c>
      <c r="G6" s="258"/>
      <c r="H6" s="259" t="str">
        <f t="shared" ref="H6:H28" si="2">IF(N6&lt;&gt;"",N6,M6)</f>
        <v/>
      </c>
      <c r="I6" s="255" t="str">
        <f t="shared" si="0"/>
        <v/>
      </c>
      <c r="J6" s="203"/>
      <c r="K6" s="209" t="str" cm="1">
        <f t="array" ref="K6">IFERROR(INDEX(物件概要!$L$3:$L$50,MATCH(1,(物件概要!$K$3:$K$50&lt;&gt;"")*ISNUMBER(SEARCH(物件概要!$K$3:$K$50,B6)),0)),IFERROR(INDEX('物件概要(2)'!$L$3:$L$49,MATCH(1,('物件概要(2)'!$K$3:$K$49&lt;&gt;"")*ISNUMBER(SEARCH('物件概要(2)'!$K$3:$K$49,B6)),0)),""))</f>
        <v/>
      </c>
      <c r="L6" s="206"/>
      <c r="M6" s="211" t="str" cm="1">
        <f t="array" ref="M6">IFERROR(INDEX('物件概要(2)'!$N$3:$N$49,MATCH(1,('物件概要(2)'!$M$3:$M$49&lt;&gt;"")*ISNUMBER(SEARCH('物件概要(2)'!$M$3:$M$49,B6)),0)),"")</f>
        <v/>
      </c>
      <c r="N6" s="206"/>
      <c r="P6" s="201" t="s">
        <v>196</v>
      </c>
    </row>
    <row r="7" spans="1:18" ht="25.95" customHeight="1">
      <c r="A7" s="256" t="s">
        <v>218</v>
      </c>
      <c r="B7" s="563"/>
      <c r="C7" s="564"/>
      <c r="D7" s="570"/>
      <c r="E7" s="571"/>
      <c r="F7" s="260" t="str">
        <f t="shared" si="1"/>
        <v/>
      </c>
      <c r="G7" s="258"/>
      <c r="H7" s="259" t="str">
        <f t="shared" si="2"/>
        <v/>
      </c>
      <c r="I7" s="255" t="str">
        <f t="shared" si="0"/>
        <v/>
      </c>
      <c r="J7" s="203"/>
      <c r="K7" s="209" t="str" cm="1">
        <f t="array" ref="K7">IFERROR(INDEX(物件概要!$L$3:$L$50,MATCH(1,(物件概要!$K$3:$K$50&lt;&gt;"")*ISNUMBER(SEARCH(物件概要!$K$3:$K$50,B7)),0)),IFERROR(INDEX('物件概要(2)'!$L$3:$L$49,MATCH(1,('物件概要(2)'!$K$3:$K$49&lt;&gt;"")*ISNUMBER(SEARCH('物件概要(2)'!$K$3:$K$49,B7)),0)),""))</f>
        <v/>
      </c>
      <c r="L7" s="206"/>
      <c r="M7" s="211" t="str" cm="1">
        <f t="array" ref="M7">IFERROR(INDEX('物件概要(2)'!$N$3:$N$49,MATCH(1,('物件概要(2)'!$M$3:$M$49&lt;&gt;"")*ISNUMBER(SEARCH('物件概要(2)'!$M$3:$M$49,B7)),0)),"")</f>
        <v/>
      </c>
      <c r="N7" s="206"/>
      <c r="P7" s="201" t="s">
        <v>197</v>
      </c>
    </row>
    <row r="8" spans="1:18" ht="25.95" customHeight="1">
      <c r="A8" s="256" t="s">
        <v>218</v>
      </c>
      <c r="B8" s="563"/>
      <c r="C8" s="564"/>
      <c r="D8" s="570"/>
      <c r="E8" s="571"/>
      <c r="F8" s="260" t="str">
        <f t="shared" si="1"/>
        <v/>
      </c>
      <c r="G8" s="258"/>
      <c r="H8" s="259" t="str">
        <f t="shared" si="2"/>
        <v/>
      </c>
      <c r="I8" s="255" t="str">
        <f t="shared" si="0"/>
        <v/>
      </c>
      <c r="J8" s="203"/>
      <c r="K8" s="209" t="str" cm="1">
        <f t="array" ref="K8">IFERROR(INDEX(物件概要!$L$3:$L$50,MATCH(1,(物件概要!$K$3:$K$50&lt;&gt;"")*ISNUMBER(SEARCH(物件概要!$K$3:$K$50,B8)),0)),IFERROR(INDEX('物件概要(2)'!$L$3:$L$49,MATCH(1,('物件概要(2)'!$K$3:$K$49&lt;&gt;"")*ISNUMBER(SEARCH('物件概要(2)'!$K$3:$K$49,B8)),0)),""))</f>
        <v/>
      </c>
      <c r="L8" s="206"/>
      <c r="M8" s="211" t="str" cm="1">
        <f t="array" ref="M8">IFERROR(INDEX('物件概要(2)'!$N$3:$N$49,MATCH(1,('物件概要(2)'!$M$3:$M$49&lt;&gt;"")*ISNUMBER(SEARCH('物件概要(2)'!$M$3:$M$49,B8)),0)),"")</f>
        <v/>
      </c>
      <c r="N8" s="206"/>
      <c r="P8" s="201" t="s">
        <v>198</v>
      </c>
    </row>
    <row r="9" spans="1:18" ht="25.95" customHeight="1">
      <c r="A9" s="256" t="s">
        <v>218</v>
      </c>
      <c r="B9" s="563"/>
      <c r="C9" s="564"/>
      <c r="D9" s="570"/>
      <c r="E9" s="571"/>
      <c r="F9" s="260" t="str">
        <f t="shared" si="1"/>
        <v/>
      </c>
      <c r="G9" s="258"/>
      <c r="H9" s="259" t="str">
        <f t="shared" si="2"/>
        <v/>
      </c>
      <c r="I9" s="255" t="str">
        <f t="shared" si="0"/>
        <v/>
      </c>
      <c r="J9" s="203"/>
      <c r="K9" s="209" t="str" cm="1">
        <f t="array" ref="K9">IFERROR(INDEX(物件概要!$L$3:$L$50,MATCH(1,(物件概要!$K$3:$K$50&lt;&gt;"")*ISNUMBER(SEARCH(物件概要!$K$3:$K$50,B9)),0)),IFERROR(INDEX('物件概要(2)'!$L$3:$L$49,MATCH(1,('物件概要(2)'!$K$3:$K$49&lt;&gt;"")*ISNUMBER(SEARCH('物件概要(2)'!$K$3:$K$49,B9)),0)),""))</f>
        <v/>
      </c>
      <c r="L9" s="206"/>
      <c r="M9" s="211" t="str" cm="1">
        <f t="array" ref="M9">IFERROR(INDEX('物件概要(2)'!$N$3:$N$49,MATCH(1,('物件概要(2)'!$M$3:$M$49&lt;&gt;"")*ISNUMBER(SEARCH('物件概要(2)'!$M$3:$M$49,B9)),0)),"")</f>
        <v/>
      </c>
      <c r="N9" s="206"/>
      <c r="P9" s="201" t="s">
        <v>199</v>
      </c>
    </row>
    <row r="10" spans="1:18" ht="25.95" customHeight="1">
      <c r="A10" s="256" t="s">
        <v>218</v>
      </c>
      <c r="B10" s="261"/>
      <c r="C10" s="261"/>
      <c r="D10" s="570"/>
      <c r="E10" s="571"/>
      <c r="F10" s="260" t="str">
        <f t="shared" si="1"/>
        <v/>
      </c>
      <c r="G10" s="258"/>
      <c r="H10" s="259" t="str">
        <f t="shared" si="2"/>
        <v/>
      </c>
      <c r="I10" s="255" t="str">
        <f t="shared" si="0"/>
        <v/>
      </c>
      <c r="J10" s="203"/>
      <c r="K10" s="209" t="str" cm="1">
        <f t="array" ref="K10">IFERROR(INDEX(物件概要!$L$3:$L$50,MATCH(1,(物件概要!$K$3:$K$50&lt;&gt;"")*ISNUMBER(SEARCH(物件概要!$K$3:$K$50,B11)),0)),IFERROR(INDEX('物件概要(2)'!$L$3:$L$49,MATCH(1,('物件概要(2)'!$K$3:$K$49&lt;&gt;"")*ISNUMBER(SEARCH('物件概要(2)'!$K$3:$K$49,B11)),0)),""))</f>
        <v/>
      </c>
      <c r="L10" s="206"/>
      <c r="M10" s="211" t="str" cm="1">
        <f t="array" ref="M10">IFERROR(INDEX('物件概要(2)'!$N$3:$N$49,MATCH(1,('物件概要(2)'!$M$3:$M$49&lt;&gt;"")*ISNUMBER(SEARCH('物件概要(2)'!$M$3:$M$49,B11)),0)),"")</f>
        <v/>
      </c>
      <c r="N10" s="206"/>
      <c r="P10" s="201" t="s">
        <v>200</v>
      </c>
    </row>
    <row r="11" spans="1:18" ht="25.95" customHeight="1">
      <c r="A11" s="256" t="s">
        <v>218</v>
      </c>
      <c r="B11" s="563"/>
      <c r="C11" s="564"/>
      <c r="D11" s="570"/>
      <c r="E11" s="571"/>
      <c r="F11" s="260" t="str">
        <f t="shared" si="1"/>
        <v/>
      </c>
      <c r="G11" s="258"/>
      <c r="H11" s="259" t="str">
        <f t="shared" si="2"/>
        <v/>
      </c>
      <c r="I11" s="255" t="str">
        <f t="shared" si="0"/>
        <v/>
      </c>
      <c r="J11" s="203"/>
      <c r="K11" s="209" t="str" cm="1">
        <f t="array" ref="K11">IFERROR(INDEX(物件概要!$L$3:$L$50,MATCH(1,(物件概要!$K$3:$K$50&lt;&gt;"")*ISNUMBER(SEARCH(物件概要!$K$3:$K$50,#REF!)),0)),IFERROR(INDEX('物件概要(2)'!$L$3:$L$49,MATCH(1,('物件概要(2)'!$K$3:$K$49&lt;&gt;"")*ISNUMBER(SEARCH('物件概要(2)'!$K$3:$K$49,#REF!)),0)),""))</f>
        <v/>
      </c>
      <c r="L11" s="206"/>
      <c r="M11" s="211" t="str" cm="1">
        <f t="array" ref="M11">IFERROR(INDEX('物件概要(2)'!$N$3:$N$49,MATCH(1,('物件概要(2)'!$M$3:$M$49&lt;&gt;"")*ISNUMBER(SEARCH('物件概要(2)'!$M$3:$M$49,#REF!)),0)),"")</f>
        <v/>
      </c>
      <c r="N11" s="206"/>
      <c r="P11" s="201" t="s">
        <v>201</v>
      </c>
    </row>
    <row r="12" spans="1:18" ht="25.95" customHeight="1">
      <c r="A12" s="256" t="s">
        <v>218</v>
      </c>
      <c r="B12" s="563"/>
      <c r="C12" s="564"/>
      <c r="D12" s="570"/>
      <c r="E12" s="571"/>
      <c r="F12" s="260" t="str">
        <f t="shared" si="1"/>
        <v/>
      </c>
      <c r="G12" s="258"/>
      <c r="H12" s="259" t="str">
        <f t="shared" si="2"/>
        <v/>
      </c>
      <c r="I12" s="255" t="str">
        <f t="shared" si="0"/>
        <v/>
      </c>
      <c r="J12" s="203"/>
      <c r="K12" s="209" t="str" cm="1">
        <f t="array" ref="K12">IFERROR(INDEX(物件概要!$L$3:$L$50,MATCH(1,(物件概要!$K$3:$K$50&lt;&gt;"")*ISNUMBER(SEARCH(物件概要!$K$3:$K$50,B12)),0)),IFERROR(INDEX('物件概要(2)'!$L$3:$L$49,MATCH(1,('物件概要(2)'!$K$3:$K$49&lt;&gt;"")*ISNUMBER(SEARCH('物件概要(2)'!$K$3:$K$49,B12)),0)),""))</f>
        <v/>
      </c>
      <c r="L12" s="206"/>
      <c r="M12" s="211" t="str" cm="1">
        <f t="array" ref="M12">IFERROR(INDEX('物件概要(2)'!$N$3:$N$49,MATCH(1,('物件概要(2)'!$M$3:$M$49&lt;&gt;"")*ISNUMBER(SEARCH('物件概要(2)'!$M$3:$M$49,B12)),0)),"")</f>
        <v/>
      </c>
      <c r="N12" s="206"/>
      <c r="P12" s="201" t="s">
        <v>202</v>
      </c>
    </row>
    <row r="13" spans="1:18" ht="25.95" customHeight="1">
      <c r="A13" s="256" t="s">
        <v>218</v>
      </c>
      <c r="B13" s="563"/>
      <c r="C13" s="564"/>
      <c r="D13" s="570"/>
      <c r="E13" s="571"/>
      <c r="F13" s="260" t="str">
        <f t="shared" si="1"/>
        <v/>
      </c>
      <c r="G13" s="258"/>
      <c r="H13" s="259" t="str">
        <f t="shared" si="2"/>
        <v/>
      </c>
      <c r="I13" s="255" t="str">
        <f t="shared" si="0"/>
        <v/>
      </c>
      <c r="J13" s="203"/>
      <c r="K13" s="209" t="str" cm="1">
        <f t="array" ref="K13">IFERROR(INDEX(物件概要!$L$3:$L$50,MATCH(1,(物件概要!$K$3:$K$50&lt;&gt;"")*ISNUMBER(SEARCH(物件概要!$K$3:$K$50,B13)),0)),IFERROR(INDEX('物件概要(2)'!$L$3:$L$49,MATCH(1,('物件概要(2)'!$K$3:$K$49&lt;&gt;"")*ISNUMBER(SEARCH('物件概要(2)'!$K$3:$K$49,B13)),0)),""))</f>
        <v/>
      </c>
      <c r="L13" s="206"/>
      <c r="M13" s="211" t="str" cm="1">
        <f t="array" ref="M13">IFERROR(INDEX('物件概要(2)'!$N$3:$N$49,MATCH(1,('物件概要(2)'!$M$3:$M$49&lt;&gt;"")*ISNUMBER(SEARCH('物件概要(2)'!$M$3:$M$49,B13)),0)),"")</f>
        <v/>
      </c>
      <c r="N13" s="206"/>
      <c r="P13" s="201" t="s">
        <v>204</v>
      </c>
    </row>
    <row r="14" spans="1:18" ht="25.95" customHeight="1">
      <c r="A14" s="256" t="s">
        <v>218</v>
      </c>
      <c r="B14" s="563"/>
      <c r="C14" s="564"/>
      <c r="D14" s="570"/>
      <c r="E14" s="571"/>
      <c r="F14" s="260" t="str">
        <f t="shared" si="1"/>
        <v/>
      </c>
      <c r="G14" s="258"/>
      <c r="H14" s="259" t="str">
        <f t="shared" si="2"/>
        <v/>
      </c>
      <c r="I14" s="255" t="str">
        <f t="shared" si="0"/>
        <v/>
      </c>
      <c r="J14" s="203"/>
      <c r="K14" s="209" t="str" cm="1">
        <f t="array" ref="K14">IFERROR(INDEX(物件概要!$L$3:$L$50,MATCH(1,(物件概要!$K$3:$K$50&lt;&gt;"")*ISNUMBER(SEARCH(物件概要!$K$3:$K$50,B14)),0)),IFERROR(INDEX('物件概要(2)'!$L$3:$L$49,MATCH(1,('物件概要(2)'!$K$3:$K$49&lt;&gt;"")*ISNUMBER(SEARCH('物件概要(2)'!$K$3:$K$49,B14)),0)),""))</f>
        <v/>
      </c>
      <c r="L14" s="206"/>
      <c r="M14" s="211" t="str" cm="1">
        <f t="array" ref="M14">IFERROR(INDEX('物件概要(2)'!$N$3:$N$49,MATCH(1,('物件概要(2)'!$M$3:$M$49&lt;&gt;"")*ISNUMBER(SEARCH('物件概要(2)'!$M$3:$M$49,B14)),0)),"")</f>
        <v/>
      </c>
      <c r="N14" s="206"/>
      <c r="P14" s="201" t="s">
        <v>205</v>
      </c>
    </row>
    <row r="15" spans="1:18" ht="25.95" customHeight="1">
      <c r="A15" s="256" t="s">
        <v>218</v>
      </c>
      <c r="B15" s="563"/>
      <c r="C15" s="564"/>
      <c r="D15" s="570"/>
      <c r="E15" s="571"/>
      <c r="F15" s="260" t="str">
        <f t="shared" si="1"/>
        <v/>
      </c>
      <c r="G15" s="258"/>
      <c r="H15" s="259" t="str">
        <f t="shared" si="2"/>
        <v/>
      </c>
      <c r="I15" s="255" t="str">
        <f t="shared" si="0"/>
        <v/>
      </c>
      <c r="J15" s="203"/>
      <c r="K15" s="209" t="str" cm="1">
        <f t="array" ref="K15">IFERROR(INDEX(物件概要!$L$3:$L$50,MATCH(1,(物件概要!$K$3:$K$50&lt;&gt;"")*ISNUMBER(SEARCH(物件概要!$K$3:$K$50,B15)),0)),IFERROR(INDEX('物件概要(2)'!$L$3:$L$49,MATCH(1,('物件概要(2)'!$K$3:$K$49&lt;&gt;"")*ISNUMBER(SEARCH('物件概要(2)'!$K$3:$K$49,B15)),0)),""))</f>
        <v/>
      </c>
      <c r="L15" s="206"/>
      <c r="M15" s="211" t="str" cm="1">
        <f t="array" ref="M15">IFERROR(INDEX('物件概要(2)'!$N$3:$N$49,MATCH(1,('物件概要(2)'!$M$3:$M$49&lt;&gt;"")*ISNUMBER(SEARCH('物件概要(2)'!$M$3:$M$49,B15)),0)),"")</f>
        <v/>
      </c>
      <c r="N15" s="206"/>
      <c r="P15" s="201" t="s">
        <v>206</v>
      </c>
    </row>
    <row r="16" spans="1:18" ht="25.95" customHeight="1">
      <c r="A16" s="256" t="s">
        <v>218</v>
      </c>
      <c r="B16" s="563"/>
      <c r="C16" s="564"/>
      <c r="D16" s="570"/>
      <c r="E16" s="571"/>
      <c r="F16" s="260" t="str">
        <f t="shared" si="1"/>
        <v/>
      </c>
      <c r="G16" s="258"/>
      <c r="H16" s="259" t="str">
        <f t="shared" si="2"/>
        <v/>
      </c>
      <c r="I16" s="255" t="str">
        <f t="shared" si="0"/>
        <v/>
      </c>
      <c r="J16" s="203"/>
      <c r="K16" s="209" t="str" cm="1">
        <f t="array" ref="K16">IFERROR(INDEX(物件概要!$L$3:$L$50,MATCH(1,(物件概要!$K$3:$K$50&lt;&gt;"")*ISNUMBER(SEARCH(物件概要!$K$3:$K$50,B16)),0)),IFERROR(INDEX('物件概要(2)'!$L$3:$L$49,MATCH(1,('物件概要(2)'!$K$3:$K$49&lt;&gt;"")*ISNUMBER(SEARCH('物件概要(2)'!$K$3:$K$49,B16)),0)),""))</f>
        <v/>
      </c>
      <c r="L16" s="206"/>
      <c r="M16" s="211" t="str" cm="1">
        <f t="array" ref="M16">IFERROR(INDEX('物件概要(2)'!$N$3:$N$49,MATCH(1,('物件概要(2)'!$M$3:$M$49&lt;&gt;"")*ISNUMBER(SEARCH('物件概要(2)'!$M$3:$M$49,B16)),0)),"")</f>
        <v/>
      </c>
      <c r="N16" s="206"/>
      <c r="P16" s="201" t="s">
        <v>207</v>
      </c>
    </row>
    <row r="17" spans="1:16" ht="25.95" customHeight="1">
      <c r="A17" s="256" t="s">
        <v>218</v>
      </c>
      <c r="B17" s="563"/>
      <c r="C17" s="564"/>
      <c r="D17" s="570"/>
      <c r="E17" s="571"/>
      <c r="F17" s="260" t="str">
        <f t="shared" si="1"/>
        <v/>
      </c>
      <c r="G17" s="258"/>
      <c r="H17" s="259" t="str">
        <f t="shared" si="2"/>
        <v/>
      </c>
      <c r="I17" s="255" t="str">
        <f t="shared" si="0"/>
        <v/>
      </c>
      <c r="J17" s="203"/>
      <c r="K17" s="209" t="str" cm="1">
        <f t="array" ref="K17">IFERROR(INDEX(物件概要!$L$3:$L$50,MATCH(1,(物件概要!$K$3:$K$50&lt;&gt;"")*ISNUMBER(SEARCH(物件概要!$K$3:$K$50,B17)),0)),IFERROR(INDEX('物件概要(2)'!$L$3:$L$49,MATCH(1,('物件概要(2)'!$K$3:$K$49&lt;&gt;"")*ISNUMBER(SEARCH('物件概要(2)'!$K$3:$K$49,B17)),0)),""))</f>
        <v/>
      </c>
      <c r="L17" s="206"/>
      <c r="M17" s="211" t="str" cm="1">
        <f t="array" ref="M17">IFERROR(INDEX('物件概要(2)'!$N$3:$N$49,MATCH(1,('物件概要(2)'!$M$3:$M$49&lt;&gt;"")*ISNUMBER(SEARCH('物件概要(2)'!$M$3:$M$49,B17)),0)),"")</f>
        <v/>
      </c>
      <c r="N17" s="206"/>
      <c r="P17" s="201" t="s">
        <v>203</v>
      </c>
    </row>
    <row r="18" spans="1:16" ht="25.95" customHeight="1">
      <c r="A18" s="256" t="s">
        <v>218</v>
      </c>
      <c r="B18" s="563"/>
      <c r="C18" s="564"/>
      <c r="D18" s="570"/>
      <c r="E18" s="571"/>
      <c r="F18" s="260" t="str">
        <f t="shared" si="1"/>
        <v/>
      </c>
      <c r="G18" s="258"/>
      <c r="H18" s="259" t="str">
        <f t="shared" si="2"/>
        <v/>
      </c>
      <c r="I18" s="255" t="str">
        <f t="shared" si="0"/>
        <v/>
      </c>
      <c r="J18" s="203"/>
      <c r="K18" s="209" t="str" cm="1">
        <f t="array" ref="K18">IFERROR(INDEX(物件概要!$L$3:$L$50,MATCH(1,(物件概要!$K$3:$K$50&lt;&gt;"")*ISNUMBER(SEARCH(物件概要!$K$3:$K$50,B18)),0)),IFERROR(INDEX('物件概要(2)'!$L$3:$L$49,MATCH(1,('物件概要(2)'!$K$3:$K$49&lt;&gt;"")*ISNUMBER(SEARCH('物件概要(2)'!$K$3:$K$49,B18)),0)),""))</f>
        <v/>
      </c>
      <c r="L18" s="206"/>
      <c r="M18" s="211" t="str" cm="1">
        <f t="array" ref="M18">IFERROR(INDEX('物件概要(2)'!$N$3:$N$49,MATCH(1,('物件概要(2)'!$M$3:$M$49&lt;&gt;"")*ISNUMBER(SEARCH('物件概要(2)'!$M$3:$M$49,B18)),0)),"")</f>
        <v/>
      </c>
      <c r="N18" s="206"/>
      <c r="P18" s="201" t="s">
        <v>208</v>
      </c>
    </row>
    <row r="19" spans="1:16" ht="25.95" customHeight="1">
      <c r="A19" s="256" t="s">
        <v>218</v>
      </c>
      <c r="B19" s="563"/>
      <c r="C19" s="564"/>
      <c r="D19" s="570"/>
      <c r="E19" s="571"/>
      <c r="F19" s="260" t="str">
        <f t="shared" si="1"/>
        <v/>
      </c>
      <c r="G19" s="258"/>
      <c r="H19" s="259" t="str">
        <f t="shared" si="2"/>
        <v/>
      </c>
      <c r="I19" s="255" t="str">
        <f t="shared" si="0"/>
        <v/>
      </c>
      <c r="J19" s="203"/>
      <c r="K19" s="209" t="str" cm="1">
        <f t="array" ref="K19">IFERROR(INDEX(物件概要!$L$3:$L$50,MATCH(1,(物件概要!$K$3:$K$50&lt;&gt;"")*ISNUMBER(SEARCH(物件概要!$K$3:$K$50,B19)),0)),IFERROR(INDEX('物件概要(2)'!$L$3:$L$49,MATCH(1,('物件概要(2)'!$K$3:$K$49&lt;&gt;"")*ISNUMBER(SEARCH('物件概要(2)'!$K$3:$K$49,B19)),0)),""))</f>
        <v/>
      </c>
      <c r="L19" s="206"/>
      <c r="M19" s="211" t="str" cm="1">
        <f t="array" ref="M19">IFERROR(INDEX('物件概要(2)'!$N$3:$N$49,MATCH(1,('物件概要(2)'!$M$3:$M$49&lt;&gt;"")*ISNUMBER(SEARCH('物件概要(2)'!$M$3:$M$49,B19)),0)),"")</f>
        <v/>
      </c>
      <c r="N19" s="206"/>
      <c r="P19" s="201" t="s">
        <v>209</v>
      </c>
    </row>
    <row r="20" spans="1:16" ht="25.95" customHeight="1">
      <c r="A20" s="256" t="s">
        <v>218</v>
      </c>
      <c r="B20" s="563"/>
      <c r="C20" s="564"/>
      <c r="D20" s="570"/>
      <c r="E20" s="571"/>
      <c r="F20" s="260" t="str">
        <f t="shared" si="1"/>
        <v/>
      </c>
      <c r="G20" s="258"/>
      <c r="H20" s="259" t="str">
        <f t="shared" si="2"/>
        <v/>
      </c>
      <c r="I20" s="255" t="str">
        <f t="shared" si="0"/>
        <v/>
      </c>
      <c r="J20" s="203"/>
      <c r="K20" s="209" t="str" cm="1">
        <f t="array" ref="K20">IFERROR(INDEX(物件概要!$L$3:$L$50,MATCH(1,(物件概要!$K$3:$K$50&lt;&gt;"")*ISNUMBER(SEARCH(物件概要!$K$3:$K$50,B20)),0)),IFERROR(INDEX('物件概要(2)'!$L$3:$L$49,MATCH(1,('物件概要(2)'!$K$3:$K$49&lt;&gt;"")*ISNUMBER(SEARCH('物件概要(2)'!$K$3:$K$49,B20)),0)),""))</f>
        <v/>
      </c>
      <c r="L20" s="206"/>
      <c r="M20" s="211" t="str" cm="1">
        <f t="array" ref="M20">IFERROR(INDEX('物件概要(2)'!$N$3:$N$49,MATCH(1,('物件概要(2)'!$M$3:$M$49&lt;&gt;"")*ISNUMBER(SEARCH('物件概要(2)'!$M$3:$M$49,B20)),0)),"")</f>
        <v/>
      </c>
      <c r="N20" s="206"/>
      <c r="P20" s="201" t="s">
        <v>210</v>
      </c>
    </row>
    <row r="21" spans="1:16" ht="25.95" customHeight="1">
      <c r="A21" s="256" t="s">
        <v>218</v>
      </c>
      <c r="B21" s="563"/>
      <c r="C21" s="564"/>
      <c r="D21" s="570"/>
      <c r="E21" s="571"/>
      <c r="F21" s="260" t="str">
        <f t="shared" si="1"/>
        <v/>
      </c>
      <c r="G21" s="258"/>
      <c r="H21" s="259" t="str">
        <f t="shared" si="2"/>
        <v/>
      </c>
      <c r="I21" s="255" t="str">
        <f t="shared" si="0"/>
        <v/>
      </c>
      <c r="J21" s="203"/>
      <c r="K21" s="209" t="str" cm="1">
        <f t="array" ref="K21">IFERROR(INDEX(物件概要!$L$3:$L$50,MATCH(1,(物件概要!$K$3:$K$50&lt;&gt;"")*ISNUMBER(SEARCH(物件概要!$K$3:$K$50,B21)),0)),IFERROR(INDEX('物件概要(2)'!$L$3:$L$49,MATCH(1,('物件概要(2)'!$K$3:$K$49&lt;&gt;"")*ISNUMBER(SEARCH('物件概要(2)'!$K$3:$K$49,B21)),0)),""))</f>
        <v/>
      </c>
      <c r="L21" s="206"/>
      <c r="M21" s="211" t="str" cm="1">
        <f t="array" ref="M21">IFERROR(INDEX('物件概要(2)'!$N$3:$N$49,MATCH(1,('物件概要(2)'!$M$3:$M$49&lt;&gt;"")*ISNUMBER(SEARCH('物件概要(2)'!$M$3:$M$49,B21)),0)),"")</f>
        <v/>
      </c>
      <c r="N21" s="206"/>
      <c r="P21" s="201" t="s">
        <v>211</v>
      </c>
    </row>
    <row r="22" spans="1:16" ht="25.95" customHeight="1">
      <c r="A22" s="256" t="s">
        <v>218</v>
      </c>
      <c r="B22" s="563"/>
      <c r="C22" s="564"/>
      <c r="D22" s="570"/>
      <c r="E22" s="571"/>
      <c r="F22" s="260" t="str">
        <f t="shared" si="1"/>
        <v/>
      </c>
      <c r="G22" s="258"/>
      <c r="H22" s="259" t="str">
        <f t="shared" si="2"/>
        <v/>
      </c>
      <c r="I22" s="255" t="str">
        <f t="shared" si="0"/>
        <v/>
      </c>
      <c r="J22" s="203"/>
      <c r="K22" s="209" t="str" cm="1">
        <f t="array" ref="K22">IFERROR(INDEX(物件概要!$L$3:$L$50,MATCH(1,(物件概要!$K$3:$K$50&lt;&gt;"")*ISNUMBER(SEARCH(物件概要!$K$3:$K$50,B22)),0)),IFERROR(INDEX('物件概要(2)'!$L$3:$L$49,MATCH(1,('物件概要(2)'!$K$3:$K$49&lt;&gt;"")*ISNUMBER(SEARCH('物件概要(2)'!$K$3:$K$49,B22)),0)),""))</f>
        <v/>
      </c>
      <c r="L22" s="206"/>
      <c r="M22" s="211" t="str" cm="1">
        <f t="array" ref="M22">IFERROR(INDEX('物件概要(2)'!$N$3:$N$49,MATCH(1,('物件概要(2)'!$M$3:$M$49&lt;&gt;"")*ISNUMBER(SEARCH('物件概要(2)'!$M$3:$M$49,B22)),0)),"")</f>
        <v/>
      </c>
      <c r="N22" s="206"/>
      <c r="P22" s="201" t="s">
        <v>212</v>
      </c>
    </row>
    <row r="23" spans="1:16" ht="25.95" customHeight="1">
      <c r="A23" s="256" t="s">
        <v>218</v>
      </c>
      <c r="B23" s="563"/>
      <c r="C23" s="564"/>
      <c r="D23" s="570"/>
      <c r="E23" s="571"/>
      <c r="F23" s="260" t="str">
        <f t="shared" si="1"/>
        <v/>
      </c>
      <c r="G23" s="258"/>
      <c r="H23" s="259" t="str">
        <f t="shared" si="2"/>
        <v/>
      </c>
      <c r="I23" s="255" t="str">
        <f t="shared" si="0"/>
        <v/>
      </c>
      <c r="J23" s="203"/>
      <c r="K23" s="209" t="str" cm="1">
        <f t="array" ref="K23">IFERROR(INDEX(物件概要!$L$3:$L$50,MATCH(1,(物件概要!$K$3:$K$50&lt;&gt;"")*ISNUMBER(SEARCH(物件概要!$K$3:$K$50,B23)),0)),IFERROR(INDEX('物件概要(2)'!$L$3:$L$49,MATCH(1,('物件概要(2)'!$K$3:$K$49&lt;&gt;"")*ISNUMBER(SEARCH('物件概要(2)'!$K$3:$K$49,B23)),0)),""))</f>
        <v/>
      </c>
      <c r="L23" s="206"/>
      <c r="M23" s="211" t="str" cm="1">
        <f t="array" ref="M23">IFERROR(INDEX('物件概要(2)'!$N$3:$N$49,MATCH(1,('物件概要(2)'!$M$3:$M$49&lt;&gt;"")*ISNUMBER(SEARCH('物件概要(2)'!$M$3:$M$49,B23)),0)),"")</f>
        <v/>
      </c>
      <c r="N23" s="206"/>
      <c r="P23" s="201" t="s">
        <v>213</v>
      </c>
    </row>
    <row r="24" spans="1:16" ht="25.95" customHeight="1">
      <c r="A24" s="256" t="s">
        <v>218</v>
      </c>
      <c r="B24" s="563"/>
      <c r="C24" s="564"/>
      <c r="D24" s="570"/>
      <c r="E24" s="571"/>
      <c r="F24" s="260" t="str">
        <f t="shared" si="1"/>
        <v/>
      </c>
      <c r="G24" s="258"/>
      <c r="H24" s="259" t="str">
        <f t="shared" si="2"/>
        <v/>
      </c>
      <c r="I24" s="255" t="str">
        <f t="shared" si="0"/>
        <v/>
      </c>
      <c r="J24" s="203"/>
      <c r="K24" s="209" t="str" cm="1">
        <f t="array" ref="K24">IFERROR(INDEX(物件概要!$L$3:$L$50,MATCH(1,(物件概要!$K$3:$K$50&lt;&gt;"")*ISNUMBER(SEARCH(物件概要!$K$3:$K$50,B24)),0)),IFERROR(INDEX('物件概要(2)'!$L$3:$L$49,MATCH(1,('物件概要(2)'!$K$3:$K$49&lt;&gt;"")*ISNUMBER(SEARCH('物件概要(2)'!$K$3:$K$49,B24)),0)),""))</f>
        <v/>
      </c>
      <c r="L24" s="206"/>
      <c r="M24" s="211" t="str" cm="1">
        <f t="array" ref="M24">IFERROR(INDEX('物件概要(2)'!$N$3:$N$49,MATCH(1,('物件概要(2)'!$M$3:$M$49&lt;&gt;"")*ISNUMBER(SEARCH('物件概要(2)'!$M$3:$M$49,B24)),0)),"")</f>
        <v/>
      </c>
      <c r="N24" s="206"/>
      <c r="P24" s="201" t="s">
        <v>214</v>
      </c>
    </row>
    <row r="25" spans="1:16" ht="25.95" customHeight="1">
      <c r="A25" s="256" t="s">
        <v>218</v>
      </c>
      <c r="B25" s="563"/>
      <c r="C25" s="564"/>
      <c r="D25" s="570"/>
      <c r="E25" s="571"/>
      <c r="F25" s="260" t="str">
        <f t="shared" si="1"/>
        <v/>
      </c>
      <c r="G25" s="258"/>
      <c r="H25" s="259" t="str">
        <f t="shared" si="2"/>
        <v/>
      </c>
      <c r="I25" s="255" t="str">
        <f t="shared" si="0"/>
        <v/>
      </c>
      <c r="J25" s="203"/>
      <c r="K25" s="209" t="str" cm="1">
        <f t="array" ref="K25">IFERROR(INDEX(物件概要!$L$3:$L$50,MATCH(1,(物件概要!$K$3:$K$50&lt;&gt;"")*ISNUMBER(SEARCH(物件概要!$K$3:$K$50,B25)),0)),IFERROR(INDEX('物件概要(2)'!$L$3:$L$49,MATCH(1,('物件概要(2)'!$K$3:$K$49&lt;&gt;"")*ISNUMBER(SEARCH('物件概要(2)'!$K$3:$K$49,B25)),0)),""))</f>
        <v/>
      </c>
      <c r="L25" s="206"/>
      <c r="M25" s="211" t="str" cm="1">
        <f t="array" ref="M25">IFERROR(INDEX('物件概要(2)'!$N$3:$N$49,MATCH(1,('物件概要(2)'!$M$3:$M$49&lt;&gt;"")*ISNUMBER(SEARCH('物件概要(2)'!$M$3:$M$49,B25)),0)),"")</f>
        <v/>
      </c>
      <c r="N25" s="206"/>
      <c r="P25" s="201" t="s">
        <v>215</v>
      </c>
    </row>
    <row r="26" spans="1:16" ht="25.95" customHeight="1">
      <c r="A26" s="256" t="s">
        <v>218</v>
      </c>
      <c r="B26" s="563"/>
      <c r="C26" s="564"/>
      <c r="D26" s="570"/>
      <c r="E26" s="571"/>
      <c r="F26" s="260" t="str">
        <f t="shared" si="1"/>
        <v/>
      </c>
      <c r="G26" s="258"/>
      <c r="H26" s="259" t="str">
        <f t="shared" si="2"/>
        <v/>
      </c>
      <c r="I26" s="255" t="str">
        <f t="shared" si="0"/>
        <v/>
      </c>
      <c r="J26" s="203"/>
      <c r="K26" s="209" t="str" cm="1">
        <f t="array" ref="K26">IFERROR(INDEX(物件概要!$L$3:$L$50,MATCH(1,(物件概要!$K$3:$K$50&lt;&gt;"")*ISNUMBER(SEARCH(物件概要!$K$3:$K$50,B26)),0)),IFERROR(INDEX('物件概要(2)'!$L$3:$L$49,MATCH(1,('物件概要(2)'!$K$3:$K$49&lt;&gt;"")*ISNUMBER(SEARCH('物件概要(2)'!$K$3:$K$49,B26)),0)),""))</f>
        <v/>
      </c>
      <c r="L26" s="206"/>
      <c r="M26" s="211" t="str" cm="1">
        <f t="array" ref="M26">IFERROR(INDEX('物件概要(2)'!$N$3:$N$49,MATCH(1,('物件概要(2)'!$M$3:$M$49&lt;&gt;"")*ISNUMBER(SEARCH('物件概要(2)'!$M$3:$M$49,B26)),0)),"")</f>
        <v/>
      </c>
      <c r="N26" s="206"/>
      <c r="P26" s="201" t="s">
        <v>216</v>
      </c>
    </row>
    <row r="27" spans="1:16" ht="25.95" customHeight="1">
      <c r="A27" s="256" t="s">
        <v>218</v>
      </c>
      <c r="B27" s="563"/>
      <c r="C27" s="564"/>
      <c r="D27" s="570"/>
      <c r="E27" s="571"/>
      <c r="F27" s="260" t="str">
        <f t="shared" si="1"/>
        <v/>
      </c>
      <c r="G27" s="258"/>
      <c r="H27" s="259" t="str">
        <f t="shared" si="2"/>
        <v/>
      </c>
      <c r="I27" s="255" t="str">
        <f t="shared" si="0"/>
        <v/>
      </c>
      <c r="J27" s="203"/>
      <c r="K27" s="209" t="str" cm="1">
        <f t="array" ref="K27">IFERROR(INDEX(物件概要!$L$3:$L$50,MATCH(1,(物件概要!$K$3:$K$50&lt;&gt;"")*ISNUMBER(SEARCH(物件概要!$K$3:$K$50,B27)),0)),IFERROR(INDEX('物件概要(2)'!$L$3:$L$49,MATCH(1,('物件概要(2)'!$K$3:$K$49&lt;&gt;"")*ISNUMBER(SEARCH('物件概要(2)'!$K$3:$K$49,B27)),0)),""))</f>
        <v/>
      </c>
      <c r="L27" s="206"/>
      <c r="M27" s="211" t="str" cm="1">
        <f t="array" ref="M27">IFERROR(INDEX('物件概要(2)'!$N$3:$N$49,MATCH(1,('物件概要(2)'!$M$3:$M$49&lt;&gt;"")*ISNUMBER(SEARCH('物件概要(2)'!$M$3:$M$49,B27)),0)),"")</f>
        <v/>
      </c>
      <c r="N27" s="206"/>
      <c r="P27" s="201" t="s">
        <v>217</v>
      </c>
    </row>
    <row r="28" spans="1:16" ht="25.95" customHeight="1">
      <c r="A28" s="262" t="s">
        <v>218</v>
      </c>
      <c r="B28" s="565"/>
      <c r="C28" s="566"/>
      <c r="D28" s="572"/>
      <c r="E28" s="573"/>
      <c r="F28" s="263" t="str">
        <f t="shared" si="1"/>
        <v/>
      </c>
      <c r="G28" s="264"/>
      <c r="H28" s="265" t="str">
        <f t="shared" si="2"/>
        <v/>
      </c>
      <c r="I28" s="266" t="str">
        <f t="shared" si="0"/>
        <v/>
      </c>
      <c r="J28" s="203"/>
      <c r="K28" s="209" t="str" cm="1">
        <f t="array" ref="K28">IFERROR(INDEX(物件概要!$L$3:$L$50,MATCH(1,(物件概要!$K$3:$K$50&lt;&gt;"")*ISNUMBER(SEARCH(物件概要!$K$3:$K$50,B28)),0)),IFERROR(INDEX('物件概要(2)'!$L$3:$L$49,MATCH(1,('物件概要(2)'!$K$3:$K$49&lt;&gt;"")*ISNUMBER(SEARCH('物件概要(2)'!$K$3:$K$49,B28)),0)),""))</f>
        <v/>
      </c>
      <c r="L28" s="206"/>
      <c r="M28" s="211" t="str" cm="1">
        <f t="array" ref="M28">IFERROR(INDEX('物件概要(2)'!$N$3:$N$49,MATCH(1,('物件概要(2)'!$M$3:$M$49&lt;&gt;"")*ISNUMBER(SEARCH('物件概要(2)'!$M$3:$M$49,B28)),0)),"")</f>
        <v/>
      </c>
      <c r="N28" s="206"/>
    </row>
    <row r="29" spans="1:16" ht="20.100000000000001" customHeight="1">
      <c r="A29" s="231"/>
      <c r="B29" s="555"/>
      <c r="C29" s="555"/>
      <c r="D29" s="556"/>
      <c r="E29" s="179"/>
      <c r="F29" s="4"/>
      <c r="G29" s="4"/>
      <c r="H29" s="4"/>
      <c r="I29" s="212">
        <f>SUM(I5:I28)</f>
        <v>0</v>
      </c>
      <c r="J29" s="203"/>
    </row>
    <row r="30" spans="1:16" ht="20.100000000000001" customHeight="1">
      <c r="A30" s="549"/>
      <c r="B30" s="550"/>
      <c r="C30" s="540"/>
      <c r="D30" s="541"/>
      <c r="E30" s="541"/>
      <c r="F30" s="541"/>
      <c r="G30" s="541"/>
      <c r="H30" s="541"/>
      <c r="I30" s="542"/>
      <c r="J30" s="203"/>
    </row>
    <row r="31" spans="1:16" ht="20.100000000000001" customHeight="1">
      <c r="A31" s="551"/>
      <c r="B31" s="552"/>
      <c r="C31" s="543"/>
      <c r="D31" s="544"/>
      <c r="E31" s="544"/>
      <c r="F31" s="544"/>
      <c r="G31" s="544"/>
      <c r="H31" s="544"/>
      <c r="I31" s="545"/>
      <c r="J31" s="203"/>
    </row>
    <row r="32" spans="1:16" ht="19.95" customHeight="1">
      <c r="A32" s="553"/>
      <c r="B32" s="554"/>
      <c r="C32" s="546"/>
      <c r="D32" s="547"/>
      <c r="E32" s="547"/>
      <c r="F32" s="547"/>
      <c r="G32" s="547"/>
      <c r="H32" s="547"/>
      <c r="I32" s="548"/>
      <c r="J32" s="203"/>
    </row>
    <row r="33" spans="1:16" ht="20.100000000000001" customHeight="1">
      <c r="A33" s="232"/>
      <c r="B33" s="181"/>
      <c r="C33" s="181"/>
      <c r="D33" s="5"/>
      <c r="E33" s="5"/>
      <c r="F33" s="5"/>
      <c r="G33" s="5"/>
      <c r="H33" s="5"/>
      <c r="I33" s="5"/>
      <c r="J33" s="203"/>
    </row>
    <row r="34" spans="1:16" ht="20.100000000000001" customHeight="1">
      <c r="A34" s="233"/>
      <c r="B34" s="182"/>
      <c r="C34" s="182"/>
      <c r="D34" s="6"/>
      <c r="E34" s="6"/>
      <c r="F34" s="6"/>
      <c r="G34" s="6"/>
      <c r="H34" s="6"/>
      <c r="I34" s="6"/>
    </row>
    <row r="35" spans="1:16" ht="20.100000000000001" customHeight="1">
      <c r="A35" s="201"/>
      <c r="B35" s="183"/>
      <c r="C35" s="183"/>
      <c r="D35" s="1"/>
      <c r="E35" s="1"/>
      <c r="F35" s="1"/>
      <c r="G35" s="1"/>
      <c r="H35" s="1"/>
      <c r="I35" s="1"/>
    </row>
    <row r="36" spans="1:16" ht="20.100000000000001" customHeight="1"/>
    <row r="37" spans="1:16" ht="20.100000000000001" customHeight="1"/>
    <row r="38" spans="1:16" ht="20.100000000000001" customHeight="1"/>
    <row r="39" spans="1:16" ht="20.100000000000001" customHeight="1"/>
    <row r="40" spans="1:16" s="1" customFormat="1" ht="20.100000000000001" customHeight="1">
      <c r="A40" s="201"/>
      <c r="B40" s="183"/>
      <c r="C40" s="183"/>
      <c r="K40" s="210"/>
      <c r="M40" s="210"/>
      <c r="P40" s="201"/>
    </row>
    <row r="41" spans="1:16" s="1" customFormat="1" ht="20.100000000000001" customHeight="1">
      <c r="A41" s="201"/>
      <c r="B41" s="207"/>
      <c r="C41" s="207"/>
      <c r="D41" s="18"/>
      <c r="E41" s="18"/>
      <c r="F41" s="18"/>
      <c r="G41" s="18"/>
      <c r="H41" s="18"/>
      <c r="I41" s="18"/>
      <c r="K41" s="210"/>
      <c r="M41" s="210"/>
      <c r="P41" s="201"/>
    </row>
    <row r="42" spans="1:16" ht="18"/>
    <row r="43" spans="1:16" ht="18"/>
    <row r="44" spans="1:16" ht="18"/>
    <row r="45" spans="1:16" ht="18"/>
    <row r="46" spans="1:16" ht="18"/>
    <row r="47" spans="1:16" ht="18"/>
    <row r="48" spans="1:16" ht="18"/>
    <row r="49" spans="11:11" ht="18"/>
    <row r="50" spans="11:11" ht="18"/>
    <row r="51" spans="11:11" ht="18"/>
    <row r="63" spans="11:11" ht="19.8">
      <c r="K63" s="210"/>
    </row>
    <row r="64" spans="11:11" ht="19.8">
      <c r="K64" s="210"/>
    </row>
    <row r="65" spans="11:11" ht="19.8">
      <c r="K65" s="210"/>
    </row>
  </sheetData>
  <sheetProtection sheet="1" objects="1" scenarios="1"/>
  <mergeCells count="56">
    <mergeCell ref="A1:I1"/>
    <mergeCell ref="B2:D2"/>
    <mergeCell ref="A4:C4"/>
    <mergeCell ref="D4:E4"/>
    <mergeCell ref="B5:C5"/>
    <mergeCell ref="D5:E5"/>
    <mergeCell ref="B12:C12"/>
    <mergeCell ref="D12:E12"/>
    <mergeCell ref="B6:C6"/>
    <mergeCell ref="D6:E6"/>
    <mergeCell ref="B7:C7"/>
    <mergeCell ref="D7:E7"/>
    <mergeCell ref="B8:C8"/>
    <mergeCell ref="D8:E8"/>
    <mergeCell ref="B9:C9"/>
    <mergeCell ref="D9:E9"/>
    <mergeCell ref="D10:E10"/>
    <mergeCell ref="B11:C11"/>
    <mergeCell ref="D11:E11"/>
    <mergeCell ref="B13:C13"/>
    <mergeCell ref="D13:E13"/>
    <mergeCell ref="B14:C14"/>
    <mergeCell ref="D14:E14"/>
    <mergeCell ref="B15:C15"/>
    <mergeCell ref="D15:E15"/>
    <mergeCell ref="B16:C16"/>
    <mergeCell ref="D16:E16"/>
    <mergeCell ref="B17:C17"/>
    <mergeCell ref="D17:E17"/>
    <mergeCell ref="B18:C18"/>
    <mergeCell ref="D18:E18"/>
    <mergeCell ref="B19:C19"/>
    <mergeCell ref="D19:E19"/>
    <mergeCell ref="B20:C20"/>
    <mergeCell ref="D20:E20"/>
    <mergeCell ref="B21:C21"/>
    <mergeCell ref="D21:E21"/>
    <mergeCell ref="B22:C22"/>
    <mergeCell ref="D22:E22"/>
    <mergeCell ref="B23:C23"/>
    <mergeCell ref="D23:E23"/>
    <mergeCell ref="B24:C24"/>
    <mergeCell ref="D24:E24"/>
    <mergeCell ref="B25:C25"/>
    <mergeCell ref="D25:E25"/>
    <mergeCell ref="B26:C26"/>
    <mergeCell ref="D26:E26"/>
    <mergeCell ref="B27:C27"/>
    <mergeCell ref="D27:E27"/>
    <mergeCell ref="B28:C28"/>
    <mergeCell ref="D28:E28"/>
    <mergeCell ref="B29:D29"/>
    <mergeCell ref="A30:B32"/>
    <mergeCell ref="C30:I30"/>
    <mergeCell ref="C31:I31"/>
    <mergeCell ref="C32:I32"/>
  </mergeCells>
  <phoneticPr fontId="12"/>
  <dataValidations count="3">
    <dataValidation type="list" allowBlank="1" sqref="B5:B9 B11:B28" xr:uid="{64174C5E-2D37-49C0-AAD6-49315BB15357}">
      <formula1>"）仮設工事関係,）災害防止関係,）養生工事関係,）素地調整関係,）補修工事関係,）シーリング工事関係,）塗装工事関係,）防水工事関係,）タイル工事関係,）左官工事関係,）内装工事関係,）建具工事関係,）設備工事関係,）電気工事関係,）外構工事関係,）解体工事関係,）美装工事関係,）雑工事関係"</formula1>
    </dataValidation>
    <dataValidation type="list" allowBlank="1" sqref="G5:G28" xr:uid="{28E64332-1687-4130-9E52-D8C1D99DE312}">
      <formula1>"㎡,m,式,箇所,基,台,個,段"</formula1>
    </dataValidation>
    <dataValidation type="list" allowBlank="1" showInputMessage="1" showErrorMessage="1" sqref="B2" xr:uid="{54ED22A2-64F5-4BE7-9783-7366A96EE144}">
      <formula1>項目</formula1>
    </dataValidation>
  </dataValidations>
  <printOptions horizontalCentered="1" verticalCentered="1"/>
  <pageMargins left="7.874015748031496E-2" right="7.874015748031496E-2" top="0" bottom="0" header="0" footer="0"/>
  <pageSetup paperSize="9" scale="98"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9B4A9-DA9B-46E2-86CC-8C47EE6702FD}">
  <sheetPr codeName="Sheet6">
    <pageSetUpPr fitToPage="1"/>
  </sheetPr>
  <dimension ref="A1:E57"/>
  <sheetViews>
    <sheetView showGridLines="0" view="pageBreakPreview" topLeftCell="A20" zoomScale="80" zoomScaleNormal="100" workbookViewId="0">
      <selection sqref="A1:D49"/>
    </sheetView>
  </sheetViews>
  <sheetFormatPr defaultColWidth="5.59765625" defaultRowHeight="30" customHeight="1"/>
  <cols>
    <col min="1" max="1" width="150.69921875" customWidth="1"/>
    <col min="2" max="3" width="8.59765625" hidden="1" customWidth="1"/>
    <col min="4" max="4" width="17.69921875" hidden="1" customWidth="1"/>
  </cols>
  <sheetData>
    <row r="1" spans="1:5" ht="279" customHeight="1">
      <c r="A1" s="574" t="s">
        <v>221</v>
      </c>
      <c r="B1" s="575"/>
      <c r="C1" s="575"/>
      <c r="D1" s="575"/>
      <c r="E1" s="267" t="s">
        <v>222</v>
      </c>
    </row>
    <row r="2" spans="1:5" ht="20.100000000000001" customHeight="1">
      <c r="A2" s="575"/>
      <c r="B2" s="575"/>
      <c r="C2" s="575"/>
      <c r="D2" s="575"/>
    </row>
    <row r="3" spans="1:5" ht="20.100000000000001" customHeight="1">
      <c r="A3" s="575"/>
      <c r="B3" s="575"/>
      <c r="C3" s="575"/>
      <c r="D3" s="575"/>
    </row>
    <row r="4" spans="1:5" ht="20.100000000000001" customHeight="1">
      <c r="A4" s="575"/>
      <c r="B4" s="575"/>
      <c r="C4" s="575"/>
      <c r="D4" s="575"/>
    </row>
    <row r="5" spans="1:5" ht="20.100000000000001" customHeight="1">
      <c r="A5" s="575"/>
      <c r="B5" s="575"/>
      <c r="C5" s="575"/>
      <c r="D5" s="575"/>
    </row>
    <row r="6" spans="1:5" ht="20.100000000000001" customHeight="1">
      <c r="A6" s="575"/>
      <c r="B6" s="575"/>
      <c r="C6" s="575"/>
      <c r="D6" s="575"/>
    </row>
    <row r="7" spans="1:5" ht="20.100000000000001" customHeight="1">
      <c r="A7" s="575"/>
      <c r="B7" s="575"/>
      <c r="C7" s="575"/>
      <c r="D7" s="575"/>
    </row>
    <row r="8" spans="1:5" ht="20.100000000000001" customHeight="1">
      <c r="A8" s="575"/>
      <c r="B8" s="575"/>
      <c r="C8" s="575"/>
      <c r="D8" s="575"/>
    </row>
    <row r="9" spans="1:5" ht="20.100000000000001" customHeight="1">
      <c r="A9" s="575"/>
      <c r="B9" s="575"/>
      <c r="C9" s="575"/>
      <c r="D9" s="575"/>
    </row>
    <row r="10" spans="1:5" ht="20.100000000000001" customHeight="1">
      <c r="A10" s="575"/>
      <c r="B10" s="575"/>
      <c r="C10" s="575"/>
      <c r="D10" s="575"/>
    </row>
    <row r="11" spans="1:5" ht="30" customHeight="1">
      <c r="A11" s="575"/>
      <c r="B11" s="575"/>
      <c r="C11" s="575"/>
      <c r="D11" s="575"/>
    </row>
    <row r="12" spans="1:5" ht="30" customHeight="1">
      <c r="A12" s="575"/>
      <c r="B12" s="575"/>
      <c r="C12" s="575"/>
      <c r="D12" s="575"/>
    </row>
    <row r="13" spans="1:5" ht="30" customHeight="1">
      <c r="A13" s="575"/>
      <c r="B13" s="575"/>
      <c r="C13" s="575"/>
      <c r="D13" s="575"/>
    </row>
    <row r="14" spans="1:5" ht="30" customHeight="1">
      <c r="A14" s="575"/>
      <c r="B14" s="575"/>
      <c r="C14" s="575"/>
      <c r="D14" s="575"/>
    </row>
    <row r="15" spans="1:5" ht="30" customHeight="1">
      <c r="A15" s="575"/>
      <c r="B15" s="575"/>
      <c r="C15" s="575"/>
      <c r="D15" s="575"/>
    </row>
    <row r="16" spans="1:5" ht="49.05" customHeight="1">
      <c r="A16" s="575"/>
      <c r="B16" s="575"/>
      <c r="C16" s="575"/>
      <c r="D16" s="575"/>
    </row>
    <row r="17" spans="1:4" ht="30" customHeight="1">
      <c r="A17" s="575"/>
      <c r="B17" s="575"/>
      <c r="C17" s="575"/>
      <c r="D17" s="575"/>
    </row>
    <row r="18" spans="1:4" ht="30" customHeight="1">
      <c r="A18" s="575"/>
      <c r="B18" s="575"/>
      <c r="C18" s="575"/>
      <c r="D18" s="575"/>
    </row>
    <row r="19" spans="1:4" ht="30" customHeight="1">
      <c r="A19" s="575"/>
      <c r="B19" s="575"/>
      <c r="C19" s="575"/>
      <c r="D19" s="575"/>
    </row>
    <row r="20" spans="1:4" ht="30" customHeight="1">
      <c r="A20" s="575"/>
      <c r="B20" s="575"/>
      <c r="C20" s="575"/>
      <c r="D20" s="575"/>
    </row>
    <row r="21" spans="1:4" ht="30" customHeight="1">
      <c r="A21" s="575"/>
      <c r="B21" s="575"/>
      <c r="C21" s="575"/>
      <c r="D21" s="575"/>
    </row>
    <row r="22" spans="1:4" ht="30" customHeight="1">
      <c r="A22" s="575"/>
      <c r="B22" s="575"/>
      <c r="C22" s="575"/>
      <c r="D22" s="575"/>
    </row>
    <row r="23" spans="1:4" ht="30" customHeight="1">
      <c r="A23" s="575"/>
      <c r="B23" s="575"/>
      <c r="C23" s="575"/>
      <c r="D23" s="575"/>
    </row>
    <row r="24" spans="1:4" ht="30" customHeight="1">
      <c r="A24" s="575"/>
      <c r="B24" s="575"/>
      <c r="C24" s="575"/>
      <c r="D24" s="575"/>
    </row>
    <row r="25" spans="1:4" ht="30" customHeight="1">
      <c r="A25" s="575"/>
      <c r="B25" s="575"/>
      <c r="C25" s="575"/>
      <c r="D25" s="575"/>
    </row>
    <row r="26" spans="1:4" ht="30" customHeight="1">
      <c r="A26" s="575"/>
      <c r="B26" s="575"/>
      <c r="C26" s="575"/>
      <c r="D26" s="575"/>
    </row>
    <row r="27" spans="1:4" ht="30" customHeight="1">
      <c r="A27" s="575"/>
      <c r="B27" s="575"/>
      <c r="C27" s="575"/>
      <c r="D27" s="575"/>
    </row>
    <row r="28" spans="1:4" ht="30" customHeight="1">
      <c r="A28" s="575"/>
      <c r="B28" s="575"/>
      <c r="C28" s="575"/>
      <c r="D28" s="575"/>
    </row>
    <row r="29" spans="1:4" ht="30" customHeight="1">
      <c r="A29" s="575"/>
      <c r="B29" s="575"/>
      <c r="C29" s="575"/>
      <c r="D29" s="575"/>
    </row>
    <row r="30" spans="1:4" ht="30" customHeight="1">
      <c r="A30" s="575"/>
      <c r="B30" s="575"/>
      <c r="C30" s="575"/>
      <c r="D30" s="575"/>
    </row>
    <row r="31" spans="1:4" ht="30" customHeight="1">
      <c r="A31" s="575"/>
      <c r="B31" s="575"/>
      <c r="C31" s="575"/>
      <c r="D31" s="575"/>
    </row>
    <row r="32" spans="1:4" ht="30" customHeight="1">
      <c r="A32" s="575"/>
      <c r="B32" s="575"/>
      <c r="C32" s="575"/>
      <c r="D32" s="575"/>
    </row>
    <row r="33" spans="1:4" ht="30" customHeight="1">
      <c r="A33" s="575"/>
      <c r="B33" s="575"/>
      <c r="C33" s="575"/>
      <c r="D33" s="575"/>
    </row>
    <row r="34" spans="1:4" ht="30" customHeight="1">
      <c r="A34" s="575"/>
      <c r="B34" s="575"/>
      <c r="C34" s="575"/>
      <c r="D34" s="575"/>
    </row>
    <row r="35" spans="1:4" ht="30" customHeight="1">
      <c r="A35" s="575"/>
      <c r="B35" s="575"/>
      <c r="C35" s="575"/>
      <c r="D35" s="575"/>
    </row>
    <row r="36" spans="1:4" ht="30" customHeight="1">
      <c r="A36" s="575"/>
      <c r="B36" s="575"/>
      <c r="C36" s="575"/>
      <c r="D36" s="575"/>
    </row>
    <row r="37" spans="1:4" ht="30" customHeight="1">
      <c r="A37" s="575"/>
      <c r="B37" s="575"/>
      <c r="C37" s="575"/>
      <c r="D37" s="575"/>
    </row>
    <row r="38" spans="1:4" ht="20.100000000000001" customHeight="1">
      <c r="A38" s="575"/>
      <c r="B38" s="575"/>
      <c r="C38" s="575"/>
      <c r="D38" s="575"/>
    </row>
    <row r="39" spans="1:4" ht="20.100000000000001" customHeight="1">
      <c r="A39" s="575"/>
      <c r="B39" s="575"/>
      <c r="C39" s="575"/>
      <c r="D39" s="575"/>
    </row>
    <row r="40" spans="1:4" ht="20.100000000000001" customHeight="1">
      <c r="A40" s="575"/>
      <c r="B40" s="575"/>
      <c r="C40" s="575"/>
      <c r="D40" s="575"/>
    </row>
    <row r="41" spans="1:4" ht="20.100000000000001" customHeight="1">
      <c r="A41" s="575"/>
      <c r="B41" s="575"/>
      <c r="C41" s="575"/>
      <c r="D41" s="575"/>
    </row>
    <row r="42" spans="1:4" ht="20.100000000000001" hidden="1" customHeight="1">
      <c r="A42" s="575"/>
      <c r="B42" s="575"/>
      <c r="C42" s="575"/>
      <c r="D42" s="575"/>
    </row>
    <row r="43" spans="1:4" ht="15" hidden="1" customHeight="1">
      <c r="A43" s="575"/>
      <c r="B43" s="575"/>
      <c r="C43" s="575"/>
      <c r="D43" s="575"/>
    </row>
    <row r="44" spans="1:4" ht="7.05" hidden="1" customHeight="1">
      <c r="A44" s="575"/>
      <c r="B44" s="575"/>
      <c r="C44" s="575"/>
      <c r="D44" s="575"/>
    </row>
    <row r="45" spans="1:4" ht="20.100000000000001" hidden="1" customHeight="1">
      <c r="A45" s="575"/>
      <c r="B45" s="575"/>
      <c r="C45" s="575"/>
      <c r="D45" s="575"/>
    </row>
    <row r="46" spans="1:4" ht="20.100000000000001" hidden="1" customHeight="1">
      <c r="A46" s="575"/>
      <c r="B46" s="575"/>
      <c r="C46" s="575"/>
      <c r="D46" s="575"/>
    </row>
    <row r="47" spans="1:4" ht="15" hidden="1" customHeight="1">
      <c r="A47" s="575"/>
      <c r="B47" s="575"/>
      <c r="C47" s="575"/>
      <c r="D47" s="575"/>
    </row>
    <row r="48" spans="1:4" ht="20.100000000000001" hidden="1" customHeight="1">
      <c r="A48" s="575"/>
      <c r="B48" s="575"/>
      <c r="C48" s="575"/>
      <c r="D48" s="575"/>
    </row>
    <row r="49" spans="1:4" ht="269.10000000000002" customHeight="1">
      <c r="A49" s="575"/>
      <c r="B49" s="575"/>
      <c r="C49" s="575"/>
      <c r="D49" s="575"/>
    </row>
    <row r="50" spans="1:4" ht="20.100000000000001" customHeight="1">
      <c r="A50" s="268"/>
      <c r="B50" s="268"/>
      <c r="C50" s="268"/>
      <c r="D50" s="268"/>
    </row>
    <row r="51" spans="1:4" ht="20.100000000000001" customHeight="1">
      <c r="A51" s="268"/>
      <c r="B51" s="268"/>
      <c r="C51" s="268"/>
      <c r="D51" s="268"/>
    </row>
    <row r="52" spans="1:4" ht="20.100000000000001" customHeight="1">
      <c r="A52" s="268"/>
      <c r="B52" s="268"/>
      <c r="C52" s="268"/>
      <c r="D52" s="268"/>
    </row>
    <row r="53" spans="1:4" ht="20.100000000000001" customHeight="1">
      <c r="A53" s="268"/>
      <c r="B53" s="268"/>
      <c r="C53" s="268"/>
      <c r="D53" s="268"/>
    </row>
    <row r="54" spans="1:4" ht="20.100000000000001" customHeight="1">
      <c r="A54" s="268"/>
      <c r="B54" s="268"/>
      <c r="C54" s="268"/>
      <c r="D54" s="268"/>
    </row>
    <row r="55" spans="1:4" ht="20.100000000000001" customHeight="1">
      <c r="A55" s="268"/>
      <c r="B55" s="268"/>
      <c r="C55" s="268"/>
      <c r="D55" s="268"/>
    </row>
    <row r="56" spans="1:4" ht="20.100000000000001" customHeight="1">
      <c r="A56" s="268"/>
      <c r="B56" s="268"/>
      <c r="C56" s="268"/>
      <c r="D56" s="268"/>
    </row>
    <row r="57" spans="1:4" ht="20.100000000000001" customHeight="1">
      <c r="A57" s="268"/>
      <c r="B57" s="268"/>
      <c r="C57" s="268"/>
      <c r="D57" s="268"/>
    </row>
  </sheetData>
  <sheetProtection sheet="1" objects="1" scenarios="1"/>
  <mergeCells count="1">
    <mergeCell ref="A1:D49"/>
  </mergeCells>
  <phoneticPr fontId="12"/>
  <printOptions horizontalCentered="1" verticalCentered="1"/>
  <pageMargins left="0" right="0" top="0" bottom="0" header="0" footer="0"/>
  <pageSetup paperSize="9" scale="5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8F511-8DAC-4999-97C3-ACBEFF1DDB1F}">
  <sheetPr codeName="Sheet7">
    <pageSetUpPr fitToPage="1"/>
  </sheetPr>
  <dimension ref="A1:D57"/>
  <sheetViews>
    <sheetView showGridLines="0" view="pageBreakPreview" zoomScale="80" zoomScaleNormal="100" workbookViewId="0">
      <selection sqref="A1:D49"/>
    </sheetView>
  </sheetViews>
  <sheetFormatPr defaultColWidth="5.59765625" defaultRowHeight="30" customHeight="1"/>
  <cols>
    <col min="1" max="1" width="150.69921875" customWidth="1"/>
    <col min="2" max="3" width="8.59765625" hidden="1" customWidth="1"/>
    <col min="4" max="4" width="17.69921875" hidden="1" customWidth="1"/>
  </cols>
  <sheetData>
    <row r="1" spans="1:4" ht="20.100000000000001" customHeight="1">
      <c r="A1" s="576" t="s">
        <v>224</v>
      </c>
      <c r="B1" s="577"/>
      <c r="C1" s="577"/>
      <c r="D1" s="577"/>
    </row>
    <row r="2" spans="1:4" ht="20.100000000000001" customHeight="1">
      <c r="A2" s="577"/>
      <c r="B2" s="577"/>
      <c r="C2" s="577"/>
      <c r="D2" s="577"/>
    </row>
    <row r="3" spans="1:4" ht="20.100000000000001" customHeight="1">
      <c r="A3" s="577"/>
      <c r="B3" s="577"/>
      <c r="C3" s="577"/>
      <c r="D3" s="577"/>
    </row>
    <row r="4" spans="1:4" ht="20.100000000000001" customHeight="1">
      <c r="A4" s="577"/>
      <c r="B4" s="577"/>
      <c r="C4" s="577"/>
      <c r="D4" s="577"/>
    </row>
    <row r="5" spans="1:4" ht="20.100000000000001" customHeight="1">
      <c r="A5" s="577"/>
      <c r="B5" s="577"/>
      <c r="C5" s="577"/>
      <c r="D5" s="577"/>
    </row>
    <row r="6" spans="1:4" ht="20.100000000000001" customHeight="1">
      <c r="A6" s="577"/>
      <c r="B6" s="577"/>
      <c r="C6" s="577"/>
      <c r="D6" s="577"/>
    </row>
    <row r="7" spans="1:4" ht="20.100000000000001" customHeight="1">
      <c r="A7" s="577"/>
      <c r="B7" s="577"/>
      <c r="C7" s="577"/>
      <c r="D7" s="577"/>
    </row>
    <row r="8" spans="1:4" ht="20.100000000000001" customHeight="1">
      <c r="A8" s="577"/>
      <c r="B8" s="577"/>
      <c r="C8" s="577"/>
      <c r="D8" s="577"/>
    </row>
    <row r="9" spans="1:4" ht="20.100000000000001" customHeight="1">
      <c r="A9" s="577"/>
      <c r="B9" s="577"/>
      <c r="C9" s="577"/>
      <c r="D9" s="577"/>
    </row>
    <row r="10" spans="1:4" ht="20.100000000000001" customHeight="1">
      <c r="A10" s="577"/>
      <c r="B10" s="577"/>
      <c r="C10" s="577"/>
      <c r="D10" s="577"/>
    </row>
    <row r="11" spans="1:4" ht="30" customHeight="1">
      <c r="A11" s="577"/>
      <c r="B11" s="577"/>
      <c r="C11" s="577"/>
      <c r="D11" s="577"/>
    </row>
    <row r="12" spans="1:4" ht="30" customHeight="1">
      <c r="A12" s="577"/>
      <c r="B12" s="577"/>
      <c r="C12" s="577"/>
      <c r="D12" s="577"/>
    </row>
    <row r="13" spans="1:4" ht="30" customHeight="1">
      <c r="A13" s="577"/>
      <c r="B13" s="577"/>
      <c r="C13" s="577"/>
      <c r="D13" s="577"/>
    </row>
    <row r="14" spans="1:4" ht="30" customHeight="1">
      <c r="A14" s="577"/>
      <c r="B14" s="577"/>
      <c r="C14" s="577"/>
      <c r="D14" s="577"/>
    </row>
    <row r="15" spans="1:4" ht="30" customHeight="1">
      <c r="A15" s="577"/>
      <c r="B15" s="577"/>
      <c r="C15" s="577"/>
      <c r="D15" s="577"/>
    </row>
    <row r="16" spans="1:4" ht="30" customHeight="1">
      <c r="A16" s="577"/>
      <c r="B16" s="577"/>
      <c r="C16" s="577"/>
      <c r="D16" s="577"/>
    </row>
    <row r="17" spans="1:4" ht="30" customHeight="1">
      <c r="A17" s="577"/>
      <c r="B17" s="577"/>
      <c r="C17" s="577"/>
      <c r="D17" s="577"/>
    </row>
    <row r="18" spans="1:4" ht="30" customHeight="1">
      <c r="A18" s="577"/>
      <c r="B18" s="577"/>
      <c r="C18" s="577"/>
      <c r="D18" s="577"/>
    </row>
    <row r="19" spans="1:4" ht="30" customHeight="1">
      <c r="A19" s="577"/>
      <c r="B19" s="577"/>
      <c r="C19" s="577"/>
      <c r="D19" s="577"/>
    </row>
    <row r="20" spans="1:4" ht="30" customHeight="1">
      <c r="A20" s="577"/>
      <c r="B20" s="577"/>
      <c r="C20" s="577"/>
      <c r="D20" s="577"/>
    </row>
    <row r="21" spans="1:4" ht="30" customHeight="1">
      <c r="A21" s="577"/>
      <c r="B21" s="577"/>
      <c r="C21" s="577"/>
      <c r="D21" s="577"/>
    </row>
    <row r="22" spans="1:4" ht="30" customHeight="1">
      <c r="A22" s="577"/>
      <c r="B22" s="577"/>
      <c r="C22" s="577"/>
      <c r="D22" s="577"/>
    </row>
    <row r="23" spans="1:4" ht="30" customHeight="1">
      <c r="A23" s="577"/>
      <c r="B23" s="577"/>
      <c r="C23" s="577"/>
      <c r="D23" s="577"/>
    </row>
    <row r="24" spans="1:4" ht="30" customHeight="1">
      <c r="A24" s="577"/>
      <c r="B24" s="577"/>
      <c r="C24" s="577"/>
      <c r="D24" s="577"/>
    </row>
    <row r="25" spans="1:4" ht="30" customHeight="1">
      <c r="A25" s="577"/>
      <c r="B25" s="577"/>
      <c r="C25" s="577"/>
      <c r="D25" s="577"/>
    </row>
    <row r="26" spans="1:4" ht="30" customHeight="1">
      <c r="A26" s="577"/>
      <c r="B26" s="577"/>
      <c r="C26" s="577"/>
      <c r="D26" s="577"/>
    </row>
    <row r="27" spans="1:4" ht="30" customHeight="1">
      <c r="A27" s="577"/>
      <c r="B27" s="577"/>
      <c r="C27" s="577"/>
      <c r="D27" s="577"/>
    </row>
    <row r="28" spans="1:4" ht="30" customHeight="1">
      <c r="A28" s="577"/>
      <c r="B28" s="577"/>
      <c r="C28" s="577"/>
      <c r="D28" s="577"/>
    </row>
    <row r="29" spans="1:4" ht="30" customHeight="1">
      <c r="A29" s="577"/>
      <c r="B29" s="577"/>
      <c r="C29" s="577"/>
      <c r="D29" s="577"/>
    </row>
    <row r="30" spans="1:4" ht="30" customHeight="1">
      <c r="A30" s="577"/>
      <c r="B30" s="577"/>
      <c r="C30" s="577"/>
      <c r="D30" s="577"/>
    </row>
    <row r="31" spans="1:4" ht="30" customHeight="1">
      <c r="A31" s="577"/>
      <c r="B31" s="577"/>
      <c r="C31" s="577"/>
      <c r="D31" s="577"/>
    </row>
    <row r="32" spans="1:4" ht="30" customHeight="1">
      <c r="A32" s="577"/>
      <c r="B32" s="577"/>
      <c r="C32" s="577"/>
      <c r="D32" s="577"/>
    </row>
    <row r="33" spans="1:4" ht="30" customHeight="1">
      <c r="A33" s="577"/>
      <c r="B33" s="577"/>
      <c r="C33" s="577"/>
      <c r="D33" s="577"/>
    </row>
    <row r="34" spans="1:4" ht="30" customHeight="1">
      <c r="A34" s="577"/>
      <c r="B34" s="577"/>
      <c r="C34" s="577"/>
      <c r="D34" s="577"/>
    </row>
    <row r="35" spans="1:4" ht="30" customHeight="1">
      <c r="A35" s="577"/>
      <c r="B35" s="577"/>
      <c r="C35" s="577"/>
      <c r="D35" s="577"/>
    </row>
    <row r="36" spans="1:4" ht="30" customHeight="1">
      <c r="A36" s="577"/>
      <c r="B36" s="577"/>
      <c r="C36" s="577"/>
      <c r="D36" s="577"/>
    </row>
    <row r="37" spans="1:4" ht="30" customHeight="1">
      <c r="A37" s="577"/>
      <c r="B37" s="577"/>
      <c r="C37" s="577"/>
      <c r="D37" s="577"/>
    </row>
    <row r="38" spans="1:4" ht="20.100000000000001" customHeight="1">
      <c r="A38" s="577"/>
      <c r="B38" s="577"/>
      <c r="C38" s="577"/>
      <c r="D38" s="577"/>
    </row>
    <row r="39" spans="1:4" ht="20.100000000000001" customHeight="1">
      <c r="A39" s="577"/>
      <c r="B39" s="577"/>
      <c r="C39" s="577"/>
      <c r="D39" s="577"/>
    </row>
    <row r="40" spans="1:4" ht="20.100000000000001" customHeight="1">
      <c r="A40" s="577"/>
      <c r="B40" s="577"/>
      <c r="C40" s="577"/>
      <c r="D40" s="577"/>
    </row>
    <row r="41" spans="1:4" ht="20.100000000000001" customHeight="1">
      <c r="A41" s="577"/>
      <c r="B41" s="577"/>
      <c r="C41" s="577"/>
      <c r="D41" s="577"/>
    </row>
    <row r="42" spans="1:4" ht="20.100000000000001" hidden="1" customHeight="1">
      <c r="A42" s="577"/>
      <c r="B42" s="577"/>
      <c r="C42" s="577"/>
      <c r="D42" s="577"/>
    </row>
    <row r="43" spans="1:4" ht="15" hidden="1" customHeight="1">
      <c r="A43" s="577"/>
      <c r="B43" s="577"/>
      <c r="C43" s="577"/>
      <c r="D43" s="577"/>
    </row>
    <row r="44" spans="1:4" ht="7.05" hidden="1" customHeight="1">
      <c r="A44" s="577"/>
      <c r="B44" s="577"/>
      <c r="C44" s="577"/>
      <c r="D44" s="577"/>
    </row>
    <row r="45" spans="1:4" ht="20.100000000000001" hidden="1" customHeight="1">
      <c r="A45" s="577"/>
      <c r="B45" s="577"/>
      <c r="C45" s="577"/>
      <c r="D45" s="577"/>
    </row>
    <row r="46" spans="1:4" ht="20.100000000000001" hidden="1" customHeight="1">
      <c r="A46" s="577"/>
      <c r="B46" s="577"/>
      <c r="C46" s="577"/>
      <c r="D46" s="577"/>
    </row>
    <row r="47" spans="1:4" ht="15" hidden="1" customHeight="1">
      <c r="A47" s="577"/>
      <c r="B47" s="577"/>
      <c r="C47" s="577"/>
      <c r="D47" s="577"/>
    </row>
    <row r="48" spans="1:4" ht="20.100000000000001" hidden="1" customHeight="1">
      <c r="A48" s="577"/>
      <c r="B48" s="577"/>
      <c r="C48" s="577"/>
      <c r="D48" s="577"/>
    </row>
    <row r="49" spans="1:4" ht="289.05" customHeight="1">
      <c r="A49" s="577"/>
      <c r="B49" s="577"/>
      <c r="C49" s="577"/>
      <c r="D49" s="577"/>
    </row>
    <row r="50" spans="1:4" ht="20.100000000000001" customHeight="1">
      <c r="A50" s="268"/>
      <c r="B50" s="268"/>
      <c r="C50" s="268"/>
      <c r="D50" s="268"/>
    </row>
    <row r="51" spans="1:4" ht="20.100000000000001" customHeight="1">
      <c r="A51" s="268"/>
      <c r="B51" s="268"/>
      <c r="C51" s="268"/>
      <c r="D51" s="268"/>
    </row>
    <row r="52" spans="1:4" ht="20.100000000000001" customHeight="1">
      <c r="A52" s="268"/>
      <c r="B52" s="268"/>
      <c r="C52" s="268"/>
      <c r="D52" s="268"/>
    </row>
    <row r="53" spans="1:4" ht="20.100000000000001" customHeight="1">
      <c r="A53" s="268"/>
      <c r="B53" s="268"/>
      <c r="C53" s="268"/>
      <c r="D53" s="268"/>
    </row>
    <row r="54" spans="1:4" ht="20.100000000000001" customHeight="1">
      <c r="A54" s="268"/>
      <c r="B54" s="268"/>
      <c r="C54" s="268"/>
      <c r="D54" s="268"/>
    </row>
    <row r="55" spans="1:4" ht="20.100000000000001" customHeight="1">
      <c r="A55" s="268"/>
      <c r="B55" s="268"/>
      <c r="C55" s="268"/>
      <c r="D55" s="268"/>
    </row>
    <row r="56" spans="1:4" ht="20.100000000000001" customHeight="1">
      <c r="A56" s="268"/>
      <c r="B56" s="268"/>
      <c r="C56" s="268"/>
      <c r="D56" s="268"/>
    </row>
    <row r="57" spans="1:4" ht="20.100000000000001" customHeight="1">
      <c r="A57" s="268"/>
      <c r="B57" s="268"/>
      <c r="C57" s="268"/>
      <c r="D57" s="268"/>
    </row>
  </sheetData>
  <sheetProtection sheet="1" objects="1" scenarios="1"/>
  <mergeCells count="1">
    <mergeCell ref="A1:D49"/>
  </mergeCells>
  <phoneticPr fontId="12"/>
  <printOptions horizontalCentered="1" verticalCentered="1"/>
  <pageMargins left="0" right="0" top="0" bottom="0" header="0" footer="0"/>
  <pageSetup paperSize="9" scale="5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C8B8F-5A99-4FC7-AADF-ABB175ED316C}">
  <sheetPr codeName="Sheet8">
    <pageSetUpPr fitToPage="1"/>
  </sheetPr>
  <dimension ref="A1:D57"/>
  <sheetViews>
    <sheetView showGridLines="0" view="pageBreakPreview" zoomScale="80" zoomScaleNormal="100" workbookViewId="0">
      <selection sqref="A1:D49"/>
    </sheetView>
  </sheetViews>
  <sheetFormatPr defaultColWidth="5.59765625" defaultRowHeight="30" customHeight="1"/>
  <cols>
    <col min="1" max="1" width="150.69921875" customWidth="1"/>
    <col min="2" max="3" width="8.59765625" hidden="1" customWidth="1"/>
    <col min="4" max="4" width="17.69921875" hidden="1" customWidth="1"/>
  </cols>
  <sheetData>
    <row r="1" spans="1:4" ht="20.100000000000001" customHeight="1">
      <c r="A1" s="576" t="s">
        <v>223</v>
      </c>
      <c r="B1" s="575"/>
      <c r="C1" s="575"/>
      <c r="D1" s="575"/>
    </row>
    <row r="2" spans="1:4" ht="20.100000000000001" customHeight="1">
      <c r="A2" s="575"/>
      <c r="B2" s="575"/>
      <c r="C2" s="575"/>
      <c r="D2" s="575"/>
    </row>
    <row r="3" spans="1:4" ht="20.100000000000001" customHeight="1">
      <c r="A3" s="575"/>
      <c r="B3" s="575"/>
      <c r="C3" s="575"/>
      <c r="D3" s="575"/>
    </row>
    <row r="4" spans="1:4" ht="20.100000000000001" customHeight="1">
      <c r="A4" s="575"/>
      <c r="B4" s="575"/>
      <c r="C4" s="575"/>
      <c r="D4" s="575"/>
    </row>
    <row r="5" spans="1:4" ht="20.100000000000001" customHeight="1">
      <c r="A5" s="575"/>
      <c r="B5" s="575"/>
      <c r="C5" s="575"/>
      <c r="D5" s="575"/>
    </row>
    <row r="6" spans="1:4" ht="20.100000000000001" customHeight="1">
      <c r="A6" s="575"/>
      <c r="B6" s="575"/>
      <c r="C6" s="575"/>
      <c r="D6" s="575"/>
    </row>
    <row r="7" spans="1:4" ht="20.100000000000001" customHeight="1">
      <c r="A7" s="575"/>
      <c r="B7" s="575"/>
      <c r="C7" s="575"/>
      <c r="D7" s="575"/>
    </row>
    <row r="8" spans="1:4" ht="20.100000000000001" customHeight="1">
      <c r="A8" s="575"/>
      <c r="B8" s="575"/>
      <c r="C8" s="575"/>
      <c r="D8" s="575"/>
    </row>
    <row r="9" spans="1:4" ht="20.100000000000001" customHeight="1">
      <c r="A9" s="575"/>
      <c r="B9" s="575"/>
      <c r="C9" s="575"/>
      <c r="D9" s="575"/>
    </row>
    <row r="10" spans="1:4" ht="20.100000000000001" customHeight="1">
      <c r="A10" s="575"/>
      <c r="B10" s="575"/>
      <c r="C10" s="575"/>
      <c r="D10" s="575"/>
    </row>
    <row r="11" spans="1:4" ht="30" customHeight="1">
      <c r="A11" s="575"/>
      <c r="B11" s="575"/>
      <c r="C11" s="575"/>
      <c r="D11" s="575"/>
    </row>
    <row r="12" spans="1:4" ht="30" customHeight="1">
      <c r="A12" s="575"/>
      <c r="B12" s="575"/>
      <c r="C12" s="575"/>
      <c r="D12" s="575"/>
    </row>
    <row r="13" spans="1:4" ht="30" customHeight="1">
      <c r="A13" s="575"/>
      <c r="B13" s="575"/>
      <c r="C13" s="575"/>
      <c r="D13" s="575"/>
    </row>
    <row r="14" spans="1:4" ht="30" customHeight="1">
      <c r="A14" s="575"/>
      <c r="B14" s="575"/>
      <c r="C14" s="575"/>
      <c r="D14" s="575"/>
    </row>
    <row r="15" spans="1:4" ht="30" customHeight="1">
      <c r="A15" s="575"/>
      <c r="B15" s="575"/>
      <c r="C15" s="575"/>
      <c r="D15" s="575"/>
    </row>
    <row r="16" spans="1:4" ht="30" customHeight="1">
      <c r="A16" s="575"/>
      <c r="B16" s="575"/>
      <c r="C16" s="575"/>
      <c r="D16" s="575"/>
    </row>
    <row r="17" spans="1:4" ht="30" customHeight="1">
      <c r="A17" s="575"/>
      <c r="B17" s="575"/>
      <c r="C17" s="575"/>
      <c r="D17" s="575"/>
    </row>
    <row r="18" spans="1:4" ht="30" customHeight="1">
      <c r="A18" s="575"/>
      <c r="B18" s="575"/>
      <c r="C18" s="575"/>
      <c r="D18" s="575"/>
    </row>
    <row r="19" spans="1:4" ht="30" customHeight="1">
      <c r="A19" s="575"/>
      <c r="B19" s="575"/>
      <c r="C19" s="575"/>
      <c r="D19" s="575"/>
    </row>
    <row r="20" spans="1:4" ht="30" customHeight="1">
      <c r="A20" s="575"/>
      <c r="B20" s="575"/>
      <c r="C20" s="575"/>
      <c r="D20" s="575"/>
    </row>
    <row r="21" spans="1:4" ht="30" customHeight="1">
      <c r="A21" s="575"/>
      <c r="B21" s="575"/>
      <c r="C21" s="575"/>
      <c r="D21" s="575"/>
    </row>
    <row r="22" spans="1:4" ht="30" customHeight="1">
      <c r="A22" s="575"/>
      <c r="B22" s="575"/>
      <c r="C22" s="575"/>
      <c r="D22" s="575"/>
    </row>
    <row r="23" spans="1:4" ht="30" customHeight="1">
      <c r="A23" s="575"/>
      <c r="B23" s="575"/>
      <c r="C23" s="575"/>
      <c r="D23" s="575"/>
    </row>
    <row r="24" spans="1:4" ht="30" customHeight="1">
      <c r="A24" s="575"/>
      <c r="B24" s="575"/>
      <c r="C24" s="575"/>
      <c r="D24" s="575"/>
    </row>
    <row r="25" spans="1:4" ht="30" customHeight="1">
      <c r="A25" s="575"/>
      <c r="B25" s="575"/>
      <c r="C25" s="575"/>
      <c r="D25" s="575"/>
    </row>
    <row r="26" spans="1:4" ht="30" customHeight="1">
      <c r="A26" s="575"/>
      <c r="B26" s="575"/>
      <c r="C26" s="575"/>
      <c r="D26" s="575"/>
    </row>
    <row r="27" spans="1:4" ht="30" customHeight="1">
      <c r="A27" s="575"/>
      <c r="B27" s="575"/>
      <c r="C27" s="575"/>
      <c r="D27" s="575"/>
    </row>
    <row r="28" spans="1:4" ht="30" customHeight="1">
      <c r="A28" s="575"/>
      <c r="B28" s="575"/>
      <c r="C28" s="575"/>
      <c r="D28" s="575"/>
    </row>
    <row r="29" spans="1:4" ht="30" customHeight="1">
      <c r="A29" s="575"/>
      <c r="B29" s="575"/>
      <c r="C29" s="575"/>
      <c r="D29" s="575"/>
    </row>
    <row r="30" spans="1:4" ht="30" customHeight="1">
      <c r="A30" s="575"/>
      <c r="B30" s="575"/>
      <c r="C30" s="575"/>
      <c r="D30" s="575"/>
    </row>
    <row r="31" spans="1:4" ht="30" customHeight="1">
      <c r="A31" s="575"/>
      <c r="B31" s="575"/>
      <c r="C31" s="575"/>
      <c r="D31" s="575"/>
    </row>
    <row r="32" spans="1:4" ht="30" customHeight="1">
      <c r="A32" s="575"/>
      <c r="B32" s="575"/>
      <c r="C32" s="575"/>
      <c r="D32" s="575"/>
    </row>
    <row r="33" spans="1:4" ht="30" customHeight="1">
      <c r="A33" s="575"/>
      <c r="B33" s="575"/>
      <c r="C33" s="575"/>
      <c r="D33" s="575"/>
    </row>
    <row r="34" spans="1:4" ht="30" customHeight="1">
      <c r="A34" s="575"/>
      <c r="B34" s="575"/>
      <c r="C34" s="575"/>
      <c r="D34" s="575"/>
    </row>
    <row r="35" spans="1:4" ht="30" customHeight="1">
      <c r="A35" s="575"/>
      <c r="B35" s="575"/>
      <c r="C35" s="575"/>
      <c r="D35" s="575"/>
    </row>
    <row r="36" spans="1:4" ht="30" customHeight="1">
      <c r="A36" s="575"/>
      <c r="B36" s="575"/>
      <c r="C36" s="575"/>
      <c r="D36" s="575"/>
    </row>
    <row r="37" spans="1:4" ht="30" customHeight="1">
      <c r="A37" s="575"/>
      <c r="B37" s="575"/>
      <c r="C37" s="575"/>
      <c r="D37" s="575"/>
    </row>
    <row r="38" spans="1:4" ht="20.100000000000001" customHeight="1">
      <c r="A38" s="575"/>
      <c r="B38" s="575"/>
      <c r="C38" s="575"/>
      <c r="D38" s="575"/>
    </row>
    <row r="39" spans="1:4" ht="20.100000000000001" customHeight="1">
      <c r="A39" s="575"/>
      <c r="B39" s="575"/>
      <c r="C39" s="575"/>
      <c r="D39" s="575"/>
    </row>
    <row r="40" spans="1:4" ht="20.100000000000001" customHeight="1">
      <c r="A40" s="575"/>
      <c r="B40" s="575"/>
      <c r="C40" s="575"/>
      <c r="D40" s="575"/>
    </row>
    <row r="41" spans="1:4" ht="20.100000000000001" customHeight="1">
      <c r="A41" s="575"/>
      <c r="B41" s="575"/>
      <c r="C41" s="575"/>
      <c r="D41" s="575"/>
    </row>
    <row r="42" spans="1:4" ht="20.100000000000001" hidden="1" customHeight="1">
      <c r="A42" s="575"/>
      <c r="B42" s="575"/>
      <c r="C42" s="575"/>
      <c r="D42" s="575"/>
    </row>
    <row r="43" spans="1:4" ht="15" hidden="1" customHeight="1">
      <c r="A43" s="575"/>
      <c r="B43" s="575"/>
      <c r="C43" s="575"/>
      <c r="D43" s="575"/>
    </row>
    <row r="44" spans="1:4" ht="7.05" hidden="1" customHeight="1">
      <c r="A44" s="575"/>
      <c r="B44" s="575"/>
      <c r="C44" s="575"/>
      <c r="D44" s="575"/>
    </row>
    <row r="45" spans="1:4" ht="20.100000000000001" hidden="1" customHeight="1">
      <c r="A45" s="575"/>
      <c r="B45" s="575"/>
      <c r="C45" s="575"/>
      <c r="D45" s="575"/>
    </row>
    <row r="46" spans="1:4" ht="20.100000000000001" hidden="1" customHeight="1">
      <c r="A46" s="575"/>
      <c r="B46" s="575"/>
      <c r="C46" s="575"/>
      <c r="D46" s="575"/>
    </row>
    <row r="47" spans="1:4" ht="15" hidden="1" customHeight="1">
      <c r="A47" s="575"/>
      <c r="B47" s="575"/>
      <c r="C47" s="575"/>
      <c r="D47" s="575"/>
    </row>
    <row r="48" spans="1:4" ht="20.100000000000001" hidden="1" customHeight="1">
      <c r="A48" s="575"/>
      <c r="B48" s="575"/>
      <c r="C48" s="575"/>
      <c r="D48" s="575"/>
    </row>
    <row r="49" spans="1:4" ht="289.05" customHeight="1">
      <c r="A49" s="575"/>
      <c r="B49" s="575"/>
      <c r="C49" s="575"/>
      <c r="D49" s="575"/>
    </row>
    <row r="50" spans="1:4" ht="20.100000000000001" customHeight="1">
      <c r="A50" s="268"/>
      <c r="B50" s="268"/>
      <c r="C50" s="268"/>
      <c r="D50" s="268"/>
    </row>
    <row r="51" spans="1:4" ht="20.100000000000001" customHeight="1">
      <c r="A51" s="268"/>
      <c r="B51" s="268"/>
      <c r="C51" s="268"/>
      <c r="D51" s="268"/>
    </row>
    <row r="52" spans="1:4" ht="20.100000000000001" customHeight="1">
      <c r="A52" s="268"/>
      <c r="B52" s="268"/>
      <c r="C52" s="268"/>
      <c r="D52" s="268"/>
    </row>
    <row r="53" spans="1:4" ht="20.100000000000001" customHeight="1">
      <c r="A53" s="268"/>
      <c r="B53" s="268"/>
      <c r="C53" s="268"/>
      <c r="D53" s="268"/>
    </row>
    <row r="54" spans="1:4" ht="20.100000000000001" customHeight="1">
      <c r="A54" s="268"/>
      <c r="B54" s="268"/>
      <c r="C54" s="268"/>
      <c r="D54" s="268"/>
    </row>
    <row r="55" spans="1:4" ht="20.100000000000001" customHeight="1">
      <c r="A55" s="268"/>
      <c r="B55" s="268"/>
      <c r="C55" s="268"/>
      <c r="D55" s="268"/>
    </row>
    <row r="56" spans="1:4" ht="20.100000000000001" customHeight="1">
      <c r="A56" s="268"/>
      <c r="B56" s="268"/>
      <c r="C56" s="268"/>
      <c r="D56" s="268"/>
    </row>
    <row r="57" spans="1:4" ht="20.100000000000001" customHeight="1">
      <c r="A57" s="268"/>
      <c r="B57" s="268"/>
      <c r="C57" s="268"/>
      <c r="D57" s="268"/>
    </row>
  </sheetData>
  <sheetProtection sheet="1" objects="1" scenarios="1"/>
  <mergeCells count="1">
    <mergeCell ref="A1:D49"/>
  </mergeCells>
  <phoneticPr fontId="12"/>
  <printOptions horizontalCentered="1" verticalCentered="1"/>
  <pageMargins left="0" right="0" top="0" bottom="0" header="0" footer="0"/>
  <pageSetup paperSize="9" scale="5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40FC4-44C7-4216-B70A-A919B63383BC}">
  <sheetPr codeName="Sheet9"/>
  <dimension ref="A1:I74"/>
  <sheetViews>
    <sheetView showGridLines="0" view="pageBreakPreview" topLeftCell="A33" zoomScaleNormal="100" workbookViewId="0">
      <selection activeCell="G34" sqref="G34"/>
    </sheetView>
  </sheetViews>
  <sheetFormatPr defaultColWidth="8.69921875" defaultRowHeight="16.5" customHeight="1"/>
  <cols>
    <col min="1" max="8" width="8.69921875" style="269"/>
    <col min="9" max="9" width="8.796875" style="269" customWidth="1"/>
    <col min="10" max="16384" width="8.69921875" style="269"/>
  </cols>
  <sheetData>
    <row r="1" spans="1:9" ht="16.5" customHeight="1">
      <c r="A1" s="582" t="s">
        <v>236</v>
      </c>
      <c r="B1" s="583"/>
      <c r="C1" s="583"/>
      <c r="D1" s="583"/>
      <c r="E1" s="583"/>
      <c r="F1" s="583"/>
      <c r="G1" s="583"/>
      <c r="H1" s="583"/>
      <c r="I1" s="583"/>
    </row>
    <row r="2" spans="1:9" ht="16.5" customHeight="1">
      <c r="A2" s="583"/>
      <c r="B2" s="583"/>
      <c r="C2" s="583"/>
      <c r="D2" s="583"/>
      <c r="E2" s="583"/>
      <c r="F2" s="583"/>
      <c r="G2" s="583"/>
      <c r="H2" s="583"/>
      <c r="I2" s="583"/>
    </row>
    <row r="3" spans="1:9" ht="16.5" customHeight="1">
      <c r="A3" s="272"/>
      <c r="B3" s="272"/>
      <c r="C3" s="272"/>
      <c r="D3" s="272"/>
      <c r="E3" s="272"/>
      <c r="F3" s="272"/>
      <c r="G3" s="272"/>
      <c r="H3" s="272"/>
      <c r="I3" s="272"/>
    </row>
    <row r="4" spans="1:9" ht="22.5" customHeight="1" thickBot="1">
      <c r="A4" s="272"/>
      <c r="B4" s="272"/>
      <c r="C4" s="272"/>
      <c r="D4" s="272"/>
      <c r="E4" s="272"/>
      <c r="F4" s="272"/>
      <c r="G4" s="272"/>
      <c r="H4" s="272"/>
      <c r="I4" s="272"/>
    </row>
    <row r="5" spans="1:9" ht="41.1" customHeight="1">
      <c r="A5" s="584" t="s">
        <v>233</v>
      </c>
      <c r="B5" s="585"/>
      <c r="C5" s="585"/>
      <c r="D5" s="585"/>
      <c r="E5" s="585"/>
      <c r="F5" s="585"/>
      <c r="G5" s="585"/>
      <c r="H5" s="585"/>
      <c r="I5" s="586"/>
    </row>
    <row r="6" spans="1:9" ht="16.5" customHeight="1">
      <c r="A6" s="587"/>
      <c r="B6" s="588"/>
      <c r="C6" s="588"/>
      <c r="D6" s="588"/>
      <c r="E6" s="588"/>
      <c r="F6" s="588"/>
      <c r="G6" s="588"/>
      <c r="H6" s="588"/>
      <c r="I6" s="589"/>
    </row>
    <row r="7" spans="1:9" ht="16.5" customHeight="1">
      <c r="A7" s="587"/>
      <c r="B7" s="588"/>
      <c r="C7" s="588"/>
      <c r="D7" s="588"/>
      <c r="E7" s="588"/>
      <c r="F7" s="588"/>
      <c r="G7" s="588"/>
      <c r="H7" s="588"/>
      <c r="I7" s="589"/>
    </row>
    <row r="8" spans="1:9" ht="16.5" customHeight="1">
      <c r="A8" s="587"/>
      <c r="B8" s="588"/>
      <c r="C8" s="588"/>
      <c r="D8" s="588"/>
      <c r="E8" s="588"/>
      <c r="F8" s="588"/>
      <c r="G8" s="588"/>
      <c r="H8" s="588"/>
      <c r="I8" s="589"/>
    </row>
    <row r="9" spans="1:9" ht="16.5" customHeight="1">
      <c r="A9" s="587"/>
      <c r="B9" s="588"/>
      <c r="C9" s="588"/>
      <c r="D9" s="588"/>
      <c r="E9" s="588"/>
      <c r="F9" s="588"/>
      <c r="G9" s="588"/>
      <c r="H9" s="588"/>
      <c r="I9" s="589"/>
    </row>
    <row r="10" spans="1:9" ht="16.5" customHeight="1">
      <c r="A10" s="587"/>
      <c r="B10" s="588"/>
      <c r="C10" s="588"/>
      <c r="D10" s="588"/>
      <c r="E10" s="588"/>
      <c r="F10" s="588"/>
      <c r="G10" s="588"/>
      <c r="H10" s="588"/>
      <c r="I10" s="589"/>
    </row>
    <row r="11" spans="1:9" ht="16.5" customHeight="1">
      <c r="A11" s="587"/>
      <c r="B11" s="588"/>
      <c r="C11" s="588"/>
      <c r="D11" s="588"/>
      <c r="E11" s="588"/>
      <c r="F11" s="588"/>
      <c r="G11" s="588"/>
      <c r="H11" s="588"/>
      <c r="I11" s="589"/>
    </row>
    <row r="12" spans="1:9" ht="16.5" customHeight="1">
      <c r="A12" s="587"/>
      <c r="B12" s="588"/>
      <c r="C12" s="588"/>
      <c r="D12" s="588"/>
      <c r="E12" s="588"/>
      <c r="F12" s="588"/>
      <c r="G12" s="588"/>
      <c r="H12" s="588"/>
      <c r="I12" s="589"/>
    </row>
    <row r="13" spans="1:9" ht="16.5" customHeight="1">
      <c r="A13" s="587"/>
      <c r="B13" s="588"/>
      <c r="C13" s="588"/>
      <c r="D13" s="588"/>
      <c r="E13" s="588"/>
      <c r="F13" s="588"/>
      <c r="G13" s="588"/>
      <c r="H13" s="588"/>
      <c r="I13" s="589"/>
    </row>
    <row r="14" spans="1:9" ht="16.5" customHeight="1">
      <c r="A14" s="587"/>
      <c r="B14" s="588"/>
      <c r="C14" s="588"/>
      <c r="D14" s="588"/>
      <c r="E14" s="588"/>
      <c r="F14" s="588"/>
      <c r="G14" s="588"/>
      <c r="H14" s="588"/>
      <c r="I14" s="589"/>
    </row>
    <row r="15" spans="1:9" ht="16.5" customHeight="1">
      <c r="A15" s="587"/>
      <c r="B15" s="588"/>
      <c r="C15" s="588"/>
      <c r="D15" s="588"/>
      <c r="E15" s="588"/>
      <c r="F15" s="588"/>
      <c r="G15" s="588"/>
      <c r="H15" s="588"/>
      <c r="I15" s="589"/>
    </row>
    <row r="16" spans="1:9" ht="16.5" customHeight="1">
      <c r="A16" s="587"/>
      <c r="B16" s="588"/>
      <c r="C16" s="588"/>
      <c r="D16" s="588"/>
      <c r="E16" s="588"/>
      <c r="F16" s="588"/>
      <c r="G16" s="588"/>
      <c r="H16" s="588"/>
      <c r="I16" s="589"/>
    </row>
    <row r="17" spans="1:9" ht="16.5" customHeight="1">
      <c r="A17" s="587"/>
      <c r="B17" s="588"/>
      <c r="C17" s="588"/>
      <c r="D17" s="588"/>
      <c r="E17" s="588"/>
      <c r="F17" s="588"/>
      <c r="G17" s="588"/>
      <c r="H17" s="588"/>
      <c r="I17" s="589"/>
    </row>
    <row r="18" spans="1:9" ht="16.5" customHeight="1">
      <c r="A18" s="587"/>
      <c r="B18" s="588"/>
      <c r="C18" s="588"/>
      <c r="D18" s="588"/>
      <c r="E18" s="588"/>
      <c r="F18" s="588"/>
      <c r="G18" s="588"/>
      <c r="H18" s="588"/>
      <c r="I18" s="589"/>
    </row>
    <row r="19" spans="1:9" ht="16.5" customHeight="1">
      <c r="A19" s="587"/>
      <c r="B19" s="588"/>
      <c r="C19" s="588"/>
      <c r="D19" s="588"/>
      <c r="E19" s="588"/>
      <c r="F19" s="588"/>
      <c r="G19" s="588"/>
      <c r="H19" s="588"/>
      <c r="I19" s="589"/>
    </row>
    <row r="20" spans="1:9" ht="16.5" customHeight="1">
      <c r="A20" s="587"/>
      <c r="B20" s="588"/>
      <c r="C20" s="588"/>
      <c r="D20" s="588"/>
      <c r="E20" s="588"/>
      <c r="F20" s="588"/>
      <c r="G20" s="588"/>
      <c r="H20" s="588"/>
      <c r="I20" s="589"/>
    </row>
    <row r="21" spans="1:9" ht="16.5" customHeight="1">
      <c r="A21" s="587"/>
      <c r="B21" s="588"/>
      <c r="C21" s="588"/>
      <c r="D21" s="588"/>
      <c r="E21" s="588"/>
      <c r="F21" s="588"/>
      <c r="G21" s="588"/>
      <c r="H21" s="588"/>
      <c r="I21" s="589"/>
    </row>
    <row r="22" spans="1:9" ht="16.5" customHeight="1">
      <c r="A22" s="587"/>
      <c r="B22" s="588"/>
      <c r="C22" s="588"/>
      <c r="D22" s="588"/>
      <c r="E22" s="588"/>
      <c r="F22" s="588"/>
      <c r="G22" s="588"/>
      <c r="H22" s="588"/>
      <c r="I22" s="589"/>
    </row>
    <row r="23" spans="1:9" ht="16.5" customHeight="1">
      <c r="A23" s="587"/>
      <c r="B23" s="588"/>
      <c r="C23" s="588"/>
      <c r="D23" s="588"/>
      <c r="E23" s="588"/>
      <c r="F23" s="588"/>
      <c r="G23" s="588"/>
      <c r="H23" s="588"/>
      <c r="I23" s="589"/>
    </row>
    <row r="24" spans="1:9" ht="16.5" customHeight="1">
      <c r="A24" s="587"/>
      <c r="B24" s="588"/>
      <c r="C24" s="588"/>
      <c r="D24" s="588"/>
      <c r="E24" s="588"/>
      <c r="F24" s="588"/>
      <c r="G24" s="588"/>
      <c r="H24" s="588"/>
      <c r="I24" s="589"/>
    </row>
    <row r="25" spans="1:9" ht="16.5" customHeight="1">
      <c r="A25" s="587"/>
      <c r="B25" s="588"/>
      <c r="C25" s="588"/>
      <c r="D25" s="588"/>
      <c r="E25" s="588"/>
      <c r="F25" s="588"/>
      <c r="G25" s="588"/>
      <c r="H25" s="588"/>
      <c r="I25" s="589"/>
    </row>
    <row r="26" spans="1:9" ht="16.5" customHeight="1">
      <c r="A26" s="587"/>
      <c r="B26" s="588"/>
      <c r="C26" s="588"/>
      <c r="D26" s="588"/>
      <c r="E26" s="588"/>
      <c r="F26" s="588"/>
      <c r="G26" s="588"/>
      <c r="H26" s="588"/>
      <c r="I26" s="589"/>
    </row>
    <row r="27" spans="1:9" ht="16.5" customHeight="1">
      <c r="A27" s="587"/>
      <c r="B27" s="588"/>
      <c r="C27" s="588"/>
      <c r="D27" s="588"/>
      <c r="E27" s="588"/>
      <c r="F27" s="588"/>
      <c r="G27" s="588"/>
      <c r="H27" s="588"/>
      <c r="I27" s="589"/>
    </row>
    <row r="28" spans="1:9" ht="46.05" customHeight="1" thickBot="1">
      <c r="A28" s="590"/>
      <c r="B28" s="591"/>
      <c r="C28" s="591"/>
      <c r="D28" s="591"/>
      <c r="E28" s="591"/>
      <c r="F28" s="591"/>
      <c r="G28" s="591"/>
      <c r="H28" s="591"/>
      <c r="I28" s="592"/>
    </row>
    <row r="30" spans="1:9" ht="12" customHeight="1">
      <c r="A30" s="578" t="s">
        <v>232</v>
      </c>
      <c r="B30" s="578"/>
      <c r="C30" s="578"/>
      <c r="D30" s="578"/>
      <c r="E30" s="578"/>
      <c r="F30" s="578"/>
      <c r="G30" s="578"/>
      <c r="H30" s="578"/>
      <c r="I30" s="578"/>
    </row>
    <row r="31" spans="1:9" ht="16.5" customHeight="1">
      <c r="A31" s="270" t="s">
        <v>231</v>
      </c>
      <c r="B31" s="270"/>
      <c r="C31" s="270"/>
      <c r="D31" s="270"/>
      <c r="E31" s="270"/>
    </row>
    <row r="32" spans="1:9" ht="16.5" customHeight="1">
      <c r="A32" s="270" t="s">
        <v>230</v>
      </c>
      <c r="B32" s="270" t="s">
        <v>229</v>
      </c>
      <c r="C32" s="270"/>
      <c r="D32" s="270"/>
      <c r="E32" s="270"/>
    </row>
    <row r="33" spans="1:9" ht="25.05" customHeight="1">
      <c r="A33" s="578" t="s">
        <v>228</v>
      </c>
      <c r="B33" s="578"/>
      <c r="C33" s="578"/>
      <c r="D33" s="578"/>
      <c r="E33" s="578"/>
      <c r="F33" s="578"/>
      <c r="G33" s="578"/>
    </row>
    <row r="34" spans="1:9" ht="30" customHeight="1">
      <c r="A34" s="578" t="s">
        <v>235</v>
      </c>
      <c r="B34" s="578"/>
      <c r="C34" s="578"/>
      <c r="D34" s="578"/>
      <c r="H34" s="271" t="s">
        <v>227</v>
      </c>
      <c r="I34" s="271" t="s">
        <v>226</v>
      </c>
    </row>
    <row r="35" spans="1:9" ht="16.5" customHeight="1">
      <c r="A35" s="578" t="s">
        <v>225</v>
      </c>
      <c r="B35" s="578"/>
      <c r="C35" s="578"/>
      <c r="D35" s="578"/>
      <c r="E35" s="578"/>
      <c r="F35" s="578"/>
      <c r="G35" s="578"/>
      <c r="H35" s="579"/>
      <c r="I35" s="579"/>
    </row>
    <row r="36" spans="1:9" ht="16.5" customHeight="1">
      <c r="H36" s="580"/>
      <c r="I36" s="580"/>
    </row>
    <row r="37" spans="1:9" ht="16.5" customHeight="1">
      <c r="H37" s="581"/>
      <c r="I37" s="581"/>
    </row>
    <row r="38" spans="1:9" ht="16.5" customHeight="1">
      <c r="A38" s="582" t="s">
        <v>234</v>
      </c>
      <c r="B38" s="583"/>
      <c r="C38" s="583"/>
      <c r="D38" s="583"/>
      <c r="E38" s="583"/>
      <c r="F38" s="583"/>
      <c r="G38" s="583"/>
      <c r="H38" s="583"/>
      <c r="I38" s="583"/>
    </row>
    <row r="39" spans="1:9" ht="16.5" customHeight="1">
      <c r="A39" s="583"/>
      <c r="B39" s="583"/>
      <c r="C39" s="583"/>
      <c r="D39" s="583"/>
      <c r="E39" s="583"/>
      <c r="F39" s="583"/>
      <c r="G39" s="583"/>
      <c r="H39" s="583"/>
      <c r="I39" s="583"/>
    </row>
    <row r="40" spans="1:9" ht="16.5" customHeight="1">
      <c r="A40" s="272"/>
      <c r="B40" s="272"/>
      <c r="C40" s="272"/>
      <c r="D40" s="272"/>
      <c r="E40" s="272"/>
      <c r="F40" s="272"/>
      <c r="G40" s="272"/>
      <c r="H40" s="272"/>
      <c r="I40" s="272"/>
    </row>
    <row r="41" spans="1:9" ht="22.5" customHeight="1" thickBot="1">
      <c r="A41" s="272"/>
      <c r="B41" s="272"/>
      <c r="C41" s="272"/>
      <c r="D41" s="272"/>
      <c r="E41" s="272"/>
      <c r="F41" s="272"/>
      <c r="G41" s="272"/>
      <c r="H41" s="272"/>
      <c r="I41" s="272"/>
    </row>
    <row r="42" spans="1:9" ht="41.1" customHeight="1">
      <c r="A42" s="584" t="s">
        <v>233</v>
      </c>
      <c r="B42" s="585"/>
      <c r="C42" s="585"/>
      <c r="D42" s="585"/>
      <c r="E42" s="585"/>
      <c r="F42" s="585"/>
      <c r="G42" s="585"/>
      <c r="H42" s="585"/>
      <c r="I42" s="586"/>
    </row>
    <row r="43" spans="1:9" ht="16.5" customHeight="1">
      <c r="A43" s="587"/>
      <c r="B43" s="588"/>
      <c r="C43" s="588"/>
      <c r="D43" s="588"/>
      <c r="E43" s="588"/>
      <c r="F43" s="588"/>
      <c r="G43" s="588"/>
      <c r="H43" s="588"/>
      <c r="I43" s="589"/>
    </row>
    <row r="44" spans="1:9" ht="16.5" customHeight="1">
      <c r="A44" s="587"/>
      <c r="B44" s="588"/>
      <c r="C44" s="588"/>
      <c r="D44" s="588"/>
      <c r="E44" s="588"/>
      <c r="F44" s="588"/>
      <c r="G44" s="588"/>
      <c r="H44" s="588"/>
      <c r="I44" s="589"/>
    </row>
    <row r="45" spans="1:9" ht="16.5" customHeight="1">
      <c r="A45" s="587"/>
      <c r="B45" s="588"/>
      <c r="C45" s="588"/>
      <c r="D45" s="588"/>
      <c r="E45" s="588"/>
      <c r="F45" s="588"/>
      <c r="G45" s="588"/>
      <c r="H45" s="588"/>
      <c r="I45" s="589"/>
    </row>
    <row r="46" spans="1:9" ht="16.5" customHeight="1">
      <c r="A46" s="587"/>
      <c r="B46" s="588"/>
      <c r="C46" s="588"/>
      <c r="D46" s="588"/>
      <c r="E46" s="588"/>
      <c r="F46" s="588"/>
      <c r="G46" s="588"/>
      <c r="H46" s="588"/>
      <c r="I46" s="589"/>
    </row>
    <row r="47" spans="1:9" ht="16.5" customHeight="1">
      <c r="A47" s="587"/>
      <c r="B47" s="588"/>
      <c r="C47" s="588"/>
      <c r="D47" s="588"/>
      <c r="E47" s="588"/>
      <c r="F47" s="588"/>
      <c r="G47" s="588"/>
      <c r="H47" s="588"/>
      <c r="I47" s="589"/>
    </row>
    <row r="48" spans="1:9" ht="16.5" customHeight="1">
      <c r="A48" s="587"/>
      <c r="B48" s="588"/>
      <c r="C48" s="588"/>
      <c r="D48" s="588"/>
      <c r="E48" s="588"/>
      <c r="F48" s="588"/>
      <c r="G48" s="588"/>
      <c r="H48" s="588"/>
      <c r="I48" s="589"/>
    </row>
    <row r="49" spans="1:9" ht="16.5" customHeight="1">
      <c r="A49" s="587"/>
      <c r="B49" s="588"/>
      <c r="C49" s="588"/>
      <c r="D49" s="588"/>
      <c r="E49" s="588"/>
      <c r="F49" s="588"/>
      <c r="G49" s="588"/>
      <c r="H49" s="588"/>
      <c r="I49" s="589"/>
    </row>
    <row r="50" spans="1:9" ht="16.5" customHeight="1">
      <c r="A50" s="587"/>
      <c r="B50" s="588"/>
      <c r="C50" s="588"/>
      <c r="D50" s="588"/>
      <c r="E50" s="588"/>
      <c r="F50" s="588"/>
      <c r="G50" s="588"/>
      <c r="H50" s="588"/>
      <c r="I50" s="589"/>
    </row>
    <row r="51" spans="1:9" ht="16.5" customHeight="1">
      <c r="A51" s="587"/>
      <c r="B51" s="588"/>
      <c r="C51" s="588"/>
      <c r="D51" s="588"/>
      <c r="E51" s="588"/>
      <c r="F51" s="588"/>
      <c r="G51" s="588"/>
      <c r="H51" s="588"/>
      <c r="I51" s="589"/>
    </row>
    <row r="52" spans="1:9" ht="16.5" customHeight="1">
      <c r="A52" s="587"/>
      <c r="B52" s="588"/>
      <c r="C52" s="588"/>
      <c r="D52" s="588"/>
      <c r="E52" s="588"/>
      <c r="F52" s="588"/>
      <c r="G52" s="588"/>
      <c r="H52" s="588"/>
      <c r="I52" s="589"/>
    </row>
    <row r="53" spans="1:9" ht="16.5" customHeight="1">
      <c r="A53" s="587"/>
      <c r="B53" s="588"/>
      <c r="C53" s="588"/>
      <c r="D53" s="588"/>
      <c r="E53" s="588"/>
      <c r="F53" s="588"/>
      <c r="G53" s="588"/>
      <c r="H53" s="588"/>
      <c r="I53" s="589"/>
    </row>
    <row r="54" spans="1:9" ht="16.5" customHeight="1">
      <c r="A54" s="587"/>
      <c r="B54" s="588"/>
      <c r="C54" s="588"/>
      <c r="D54" s="588"/>
      <c r="E54" s="588"/>
      <c r="F54" s="588"/>
      <c r="G54" s="588"/>
      <c r="H54" s="588"/>
      <c r="I54" s="589"/>
    </row>
    <row r="55" spans="1:9" ht="16.5" customHeight="1">
      <c r="A55" s="587"/>
      <c r="B55" s="588"/>
      <c r="C55" s="588"/>
      <c r="D55" s="588"/>
      <c r="E55" s="588"/>
      <c r="F55" s="588"/>
      <c r="G55" s="588"/>
      <c r="H55" s="588"/>
      <c r="I55" s="589"/>
    </row>
    <row r="56" spans="1:9" ht="16.5" customHeight="1">
      <c r="A56" s="587"/>
      <c r="B56" s="588"/>
      <c r="C56" s="588"/>
      <c r="D56" s="588"/>
      <c r="E56" s="588"/>
      <c r="F56" s="588"/>
      <c r="G56" s="588"/>
      <c r="H56" s="588"/>
      <c r="I56" s="589"/>
    </row>
    <row r="57" spans="1:9" ht="16.5" customHeight="1">
      <c r="A57" s="587"/>
      <c r="B57" s="588"/>
      <c r="C57" s="588"/>
      <c r="D57" s="588"/>
      <c r="E57" s="588"/>
      <c r="F57" s="588"/>
      <c r="G57" s="588"/>
      <c r="H57" s="588"/>
      <c r="I57" s="589"/>
    </row>
    <row r="58" spans="1:9" ht="16.5" customHeight="1">
      <c r="A58" s="587"/>
      <c r="B58" s="588"/>
      <c r="C58" s="588"/>
      <c r="D58" s="588"/>
      <c r="E58" s="588"/>
      <c r="F58" s="588"/>
      <c r="G58" s="588"/>
      <c r="H58" s="588"/>
      <c r="I58" s="589"/>
    </row>
    <row r="59" spans="1:9" ht="16.5" customHeight="1">
      <c r="A59" s="587"/>
      <c r="B59" s="588"/>
      <c r="C59" s="588"/>
      <c r="D59" s="588"/>
      <c r="E59" s="588"/>
      <c r="F59" s="588"/>
      <c r="G59" s="588"/>
      <c r="H59" s="588"/>
      <c r="I59" s="589"/>
    </row>
    <row r="60" spans="1:9" ht="16.5" customHeight="1">
      <c r="A60" s="587"/>
      <c r="B60" s="588"/>
      <c r="C60" s="588"/>
      <c r="D60" s="588"/>
      <c r="E60" s="588"/>
      <c r="F60" s="588"/>
      <c r="G60" s="588"/>
      <c r="H60" s="588"/>
      <c r="I60" s="589"/>
    </row>
    <row r="61" spans="1:9" ht="16.5" customHeight="1">
      <c r="A61" s="587"/>
      <c r="B61" s="588"/>
      <c r="C61" s="588"/>
      <c r="D61" s="588"/>
      <c r="E61" s="588"/>
      <c r="F61" s="588"/>
      <c r="G61" s="588"/>
      <c r="H61" s="588"/>
      <c r="I61" s="589"/>
    </row>
    <row r="62" spans="1:9" ht="16.5" customHeight="1">
      <c r="A62" s="587"/>
      <c r="B62" s="588"/>
      <c r="C62" s="588"/>
      <c r="D62" s="588"/>
      <c r="E62" s="588"/>
      <c r="F62" s="588"/>
      <c r="G62" s="588"/>
      <c r="H62" s="588"/>
      <c r="I62" s="589"/>
    </row>
    <row r="63" spans="1:9" ht="16.5" customHeight="1">
      <c r="A63" s="587"/>
      <c r="B63" s="588"/>
      <c r="C63" s="588"/>
      <c r="D63" s="588"/>
      <c r="E63" s="588"/>
      <c r="F63" s="588"/>
      <c r="G63" s="588"/>
      <c r="H63" s="588"/>
      <c r="I63" s="589"/>
    </row>
    <row r="64" spans="1:9" ht="16.5" customHeight="1">
      <c r="A64" s="587"/>
      <c r="B64" s="588"/>
      <c r="C64" s="588"/>
      <c r="D64" s="588"/>
      <c r="E64" s="588"/>
      <c r="F64" s="588"/>
      <c r="G64" s="588"/>
      <c r="H64" s="588"/>
      <c r="I64" s="589"/>
    </row>
    <row r="65" spans="1:9" ht="46.05" customHeight="1" thickBot="1">
      <c r="A65" s="590"/>
      <c r="B65" s="591"/>
      <c r="C65" s="591"/>
      <c r="D65" s="591"/>
      <c r="E65" s="591"/>
      <c r="F65" s="591"/>
      <c r="G65" s="591"/>
      <c r="H65" s="591"/>
      <c r="I65" s="592"/>
    </row>
    <row r="67" spans="1:9" ht="12" customHeight="1">
      <c r="A67" s="578" t="s">
        <v>232</v>
      </c>
      <c r="B67" s="578"/>
      <c r="C67" s="578"/>
      <c r="D67" s="578"/>
      <c r="E67" s="578"/>
      <c r="F67" s="578"/>
      <c r="G67" s="578"/>
      <c r="H67" s="578"/>
      <c r="I67" s="578"/>
    </row>
    <row r="68" spans="1:9" ht="16.5" customHeight="1">
      <c r="A68" s="270" t="s">
        <v>231</v>
      </c>
      <c r="B68" s="270"/>
      <c r="C68" s="270"/>
      <c r="D68" s="270"/>
      <c r="E68" s="270"/>
    </row>
    <row r="69" spans="1:9" ht="16.5" customHeight="1">
      <c r="A69" s="270" t="s">
        <v>230</v>
      </c>
      <c r="B69" s="270" t="s">
        <v>229</v>
      </c>
      <c r="C69" s="270"/>
      <c r="D69" s="270"/>
      <c r="E69" s="270"/>
    </row>
    <row r="70" spans="1:9" ht="25.05" customHeight="1">
      <c r="A70" s="578" t="s">
        <v>228</v>
      </c>
      <c r="B70" s="578"/>
      <c r="C70" s="578"/>
      <c r="D70" s="578"/>
      <c r="E70" s="578"/>
      <c r="F70" s="578"/>
      <c r="G70" s="578"/>
    </row>
    <row r="71" spans="1:9" ht="30" customHeight="1">
      <c r="A71" s="578" t="str">
        <f>クーリングオフ説明!A34</f>
        <v>説明担当者：Renovation Shop りほむる</v>
      </c>
      <c r="B71" s="578"/>
      <c r="C71" s="578"/>
      <c r="D71" s="578"/>
      <c r="H71" s="271" t="s">
        <v>227</v>
      </c>
      <c r="I71" s="271" t="s">
        <v>226</v>
      </c>
    </row>
    <row r="72" spans="1:9" ht="16.5" customHeight="1">
      <c r="A72" s="578" t="s">
        <v>225</v>
      </c>
      <c r="B72" s="578"/>
      <c r="C72" s="578"/>
      <c r="D72" s="578"/>
      <c r="E72" s="578"/>
      <c r="F72" s="578"/>
      <c r="G72" s="578"/>
      <c r="H72" s="579"/>
      <c r="I72" s="579"/>
    </row>
    <row r="73" spans="1:9" ht="16.5" customHeight="1">
      <c r="H73" s="580"/>
      <c r="I73" s="580"/>
    </row>
    <row r="74" spans="1:9" ht="16.5" customHeight="1">
      <c r="H74" s="581"/>
      <c r="I74" s="581"/>
    </row>
  </sheetData>
  <sheetProtection sheet="1" objects="1" scenarios="1"/>
  <mergeCells count="16">
    <mergeCell ref="A35:G35"/>
    <mergeCell ref="H35:H37"/>
    <mergeCell ref="I35:I37"/>
    <mergeCell ref="A1:I2"/>
    <mergeCell ref="A5:I28"/>
    <mergeCell ref="A30:I30"/>
    <mergeCell ref="A33:G33"/>
    <mergeCell ref="A34:D34"/>
    <mergeCell ref="A72:G72"/>
    <mergeCell ref="H72:H74"/>
    <mergeCell ref="I72:I74"/>
    <mergeCell ref="A38:I39"/>
    <mergeCell ref="A42:I65"/>
    <mergeCell ref="A67:I67"/>
    <mergeCell ref="A70:G70"/>
    <mergeCell ref="A71:D71"/>
  </mergeCells>
  <phoneticPr fontId="12"/>
  <printOptions horizontalCentered="1" verticalCentered="1"/>
  <pageMargins left="0.25" right="0.25" top="0.75" bottom="0.75" header="0.3" footer="0.3"/>
  <pageSetup paperSize="9" orientation="portrait" verticalDpi="1200" r:id="rId1"/>
  <rowBreaks count="1" manualBreakCount="1">
    <brk id="37" max="16383" man="1"/>
  </rowBreaks>
  <colBreaks count="1" manualBreakCount="1">
    <brk id="9"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9EEC-4EA3-4E90-A3D9-95A8EA5CB127}">
  <sheetPr codeName="Sheet10"/>
  <dimension ref="A1:N84"/>
  <sheetViews>
    <sheetView view="pageBreakPreview" topLeftCell="A49" zoomScale="90" zoomScaleNormal="100" workbookViewId="0">
      <selection activeCell="J48" sqref="J48"/>
    </sheetView>
  </sheetViews>
  <sheetFormatPr defaultColWidth="8.59765625" defaultRowHeight="18"/>
  <cols>
    <col min="1" max="1" width="11.296875" customWidth="1"/>
    <col min="2" max="2" width="10.69921875" customWidth="1"/>
    <col min="3" max="3" width="7.296875" customWidth="1"/>
    <col min="4" max="4" width="10.69921875" customWidth="1"/>
    <col min="5" max="5" width="12.796875" customWidth="1"/>
    <col min="6" max="6" width="17.296875" customWidth="1"/>
    <col min="7" max="7" width="10.796875" customWidth="1"/>
    <col min="8" max="8" width="27.296875" customWidth="1"/>
    <col min="9" max="10" width="8.59765625" customWidth="1"/>
  </cols>
  <sheetData>
    <row r="1" spans="1:8" ht="39">
      <c r="A1" s="594" t="s">
        <v>237</v>
      </c>
      <c r="B1" s="594"/>
      <c r="C1" s="594"/>
      <c r="D1" s="594"/>
      <c r="E1" s="594"/>
      <c r="F1" s="594"/>
      <c r="G1" s="594"/>
      <c r="H1" s="594"/>
    </row>
    <row r="2" spans="1:8" ht="12" customHeight="1">
      <c r="A2" s="273"/>
      <c r="B2" s="273"/>
      <c r="C2" s="273"/>
      <c r="D2" s="273"/>
      <c r="E2" s="273"/>
      <c r="F2" s="273"/>
      <c r="G2" s="274"/>
      <c r="H2" s="275"/>
    </row>
    <row r="3" spans="1:8">
      <c r="A3" s="595" t="s">
        <v>238</v>
      </c>
      <c r="B3" s="595"/>
      <c r="C3" s="595"/>
      <c r="D3" s="595"/>
      <c r="E3" s="595"/>
      <c r="F3" s="595"/>
      <c r="G3" s="276"/>
      <c r="H3" s="277"/>
    </row>
    <row r="4" spans="1:8">
      <c r="A4" s="595"/>
      <c r="B4" s="595"/>
      <c r="C4" s="595"/>
      <c r="D4" s="595"/>
      <c r="E4" s="595"/>
      <c r="F4" s="595"/>
      <c r="G4" s="277"/>
      <c r="H4" s="278"/>
    </row>
    <row r="5" spans="1:8">
      <c r="A5" s="595"/>
      <c r="B5" s="595"/>
      <c r="C5" s="595"/>
      <c r="D5" s="595"/>
      <c r="E5" s="595"/>
      <c r="F5" s="595"/>
      <c r="G5" s="277"/>
      <c r="H5" s="277"/>
    </row>
    <row r="6" spans="1:8" ht="37.049999999999997" customHeight="1">
      <c r="A6" s="595"/>
      <c r="B6" s="595"/>
      <c r="C6" s="595"/>
      <c r="D6" s="595"/>
      <c r="E6" s="595"/>
      <c r="F6" s="595"/>
      <c r="G6" s="596"/>
      <c r="H6" s="596"/>
    </row>
    <row r="7" spans="1:8" ht="28.05" customHeight="1">
      <c r="A7" s="279" t="s">
        <v>239</v>
      </c>
      <c r="B7" s="597">
        <f>物件概要!C4</f>
        <v>0</v>
      </c>
      <c r="C7" s="597"/>
      <c r="D7" s="597"/>
      <c r="E7" s="597"/>
      <c r="F7" s="597"/>
      <c r="G7" s="597"/>
      <c r="H7" s="597"/>
    </row>
    <row r="8" spans="1:8" ht="28.05" customHeight="1">
      <c r="A8" s="279" t="s">
        <v>240</v>
      </c>
      <c r="B8" s="338">
        <f>物件概要!C3</f>
        <v>0</v>
      </c>
      <c r="C8" s="338"/>
      <c r="D8" s="338"/>
      <c r="E8" s="339"/>
      <c r="F8" s="339"/>
      <c r="G8" s="598"/>
      <c r="H8" s="598"/>
    </row>
    <row r="9" spans="1:8" ht="28.05" customHeight="1">
      <c r="A9" s="279" t="s">
        <v>241</v>
      </c>
      <c r="B9" s="341">
        <f>物件概要!C2</f>
        <v>0</v>
      </c>
      <c r="C9" s="341" t="s">
        <v>27</v>
      </c>
      <c r="D9" s="341"/>
      <c r="E9" s="339"/>
      <c r="F9" s="339"/>
      <c r="G9" s="598"/>
      <c r="H9" s="598"/>
    </row>
    <row r="10" spans="1:8" s="278" customFormat="1" ht="28.05" customHeight="1">
      <c r="A10" s="279" t="s">
        <v>242</v>
      </c>
      <c r="B10" s="597">
        <f>見積書!L32</f>
        <v>0</v>
      </c>
      <c r="C10" s="597"/>
      <c r="D10" s="337"/>
      <c r="E10" s="339"/>
      <c r="F10" s="339"/>
      <c r="G10" s="598"/>
      <c r="H10" s="598"/>
    </row>
    <row r="11" spans="1:8" s="278" customFormat="1">
      <c r="A11" s="280"/>
      <c r="B11" s="342" t="s">
        <v>243</v>
      </c>
      <c r="C11" s="343"/>
      <c r="D11" s="344" t="s">
        <v>244</v>
      </c>
      <c r="E11" s="599">
        <f>見積書!L30</f>
        <v>0</v>
      </c>
      <c r="F11" s="599"/>
      <c r="G11" s="345"/>
      <c r="H11" s="346"/>
    </row>
    <row r="12" spans="1:8" s="278" customFormat="1">
      <c r="A12" s="273"/>
      <c r="B12" s="600" t="s">
        <v>245</v>
      </c>
      <c r="C12" s="600"/>
      <c r="D12" s="344" t="s">
        <v>244</v>
      </c>
      <c r="E12" s="599">
        <f>見積書!L31</f>
        <v>0</v>
      </c>
      <c r="F12" s="599"/>
      <c r="G12" s="340"/>
      <c r="H12" s="339"/>
    </row>
    <row r="13" spans="1:8" ht="19.8">
      <c r="A13" s="282" t="s">
        <v>246</v>
      </c>
      <c r="B13" s="278"/>
      <c r="C13" s="278"/>
      <c r="D13" s="278"/>
      <c r="E13" s="278"/>
      <c r="F13" s="278"/>
      <c r="G13" s="278"/>
      <c r="H13" s="278"/>
    </row>
    <row r="14" spans="1:8">
      <c r="A14" s="278" t="s">
        <v>247</v>
      </c>
      <c r="B14" s="278" t="s">
        <v>248</v>
      </c>
      <c r="C14" s="278" t="s">
        <v>249</v>
      </c>
      <c r="D14" s="278" t="s">
        <v>250</v>
      </c>
      <c r="E14" s="278" t="s">
        <v>18</v>
      </c>
      <c r="F14" s="278" t="s">
        <v>251</v>
      </c>
      <c r="G14" s="278" t="s">
        <v>252</v>
      </c>
      <c r="H14" s="278" t="s">
        <v>20</v>
      </c>
    </row>
    <row r="15" spans="1:8">
      <c r="A15" s="283" t="s">
        <v>253</v>
      </c>
      <c r="B15" s="278" t="s">
        <v>254</v>
      </c>
      <c r="C15" s="278"/>
      <c r="D15" s="278"/>
      <c r="E15" s="284"/>
      <c r="F15" s="284"/>
      <c r="G15" s="278"/>
      <c r="H15" s="278"/>
    </row>
    <row r="16" spans="1:8">
      <c r="A16" s="285" t="s">
        <v>255</v>
      </c>
      <c r="B16" s="273"/>
      <c r="C16" s="273"/>
      <c r="D16" s="273"/>
      <c r="E16" s="286"/>
      <c r="F16" s="286"/>
      <c r="G16" s="281"/>
      <c r="H16" s="278"/>
    </row>
    <row r="17" spans="1:14">
      <c r="A17" s="287" t="s">
        <v>255</v>
      </c>
      <c r="B17" s="273"/>
      <c r="C17" s="273"/>
      <c r="D17" s="273"/>
      <c r="E17" s="286"/>
      <c r="F17" s="286"/>
      <c r="G17" s="277"/>
      <c r="H17" s="273"/>
      <c r="N17" s="278"/>
    </row>
    <row r="18" spans="1:14">
      <c r="A18" s="278" t="s">
        <v>256</v>
      </c>
      <c r="B18" s="278" t="s">
        <v>257</v>
      </c>
      <c r="C18" s="278"/>
      <c r="D18" s="278"/>
      <c r="E18" s="278"/>
      <c r="F18" s="278"/>
      <c r="G18" s="278"/>
      <c r="H18" s="278"/>
    </row>
    <row r="19" spans="1:14" ht="23.1" customHeight="1">
      <c r="A19" s="280"/>
      <c r="B19" s="273"/>
      <c r="C19" s="273"/>
      <c r="D19" s="273"/>
      <c r="E19" s="273"/>
      <c r="F19" s="273"/>
      <c r="G19" s="281"/>
      <c r="H19" s="278"/>
    </row>
    <row r="20" spans="1:14" ht="22.2">
      <c r="A20" s="288" t="s">
        <v>258</v>
      </c>
      <c r="B20" s="288"/>
      <c r="C20" s="288"/>
      <c r="D20" s="288"/>
      <c r="E20" s="273"/>
      <c r="F20" s="273"/>
      <c r="G20" s="277"/>
      <c r="H20" s="273"/>
    </row>
    <row r="21" spans="1:14">
      <c r="A21" s="278"/>
      <c r="B21" s="278"/>
      <c r="C21" s="278"/>
      <c r="D21" s="278"/>
      <c r="E21" s="278"/>
      <c r="F21" s="278"/>
      <c r="G21" s="278"/>
      <c r="H21" s="278"/>
    </row>
    <row r="22" spans="1:14">
      <c r="A22" s="283" t="s">
        <v>259</v>
      </c>
      <c r="B22" s="283"/>
      <c r="C22" s="283"/>
      <c r="D22" s="283"/>
      <c r="E22" s="283"/>
      <c r="F22" s="283"/>
      <c r="G22" s="283"/>
      <c r="H22" s="283"/>
    </row>
    <row r="23" spans="1:14" ht="29.1" customHeight="1">
      <c r="A23" s="289"/>
      <c r="B23" s="287" t="s">
        <v>21</v>
      </c>
      <c r="C23" s="287"/>
      <c r="D23" s="287"/>
      <c r="E23" s="287"/>
      <c r="F23" s="287"/>
      <c r="G23" s="290"/>
      <c r="H23" s="283"/>
    </row>
    <row r="24" spans="1:14" ht="17.100000000000001" customHeight="1">
      <c r="A24" s="287"/>
      <c r="B24" s="287"/>
      <c r="C24" s="287"/>
      <c r="D24" s="287"/>
      <c r="E24" s="287"/>
      <c r="F24" s="287"/>
      <c r="G24" s="291"/>
      <c r="H24" s="287"/>
    </row>
    <row r="25" spans="1:14" ht="28.05" customHeight="1">
      <c r="A25" s="283"/>
      <c r="B25" s="283" t="s">
        <v>260</v>
      </c>
      <c r="C25" s="283"/>
      <c r="D25" s="283"/>
      <c r="E25" s="283"/>
      <c r="F25" s="283"/>
      <c r="G25" s="283"/>
      <c r="H25" s="283"/>
    </row>
    <row r="26" spans="1:14">
      <c r="A26" s="283"/>
      <c r="B26" s="283"/>
      <c r="C26" s="283"/>
      <c r="D26" s="287"/>
      <c r="E26" s="283"/>
      <c r="F26" s="283"/>
      <c r="G26" s="283"/>
      <c r="H26" s="283"/>
    </row>
    <row r="27" spans="1:14" ht="28.05" customHeight="1">
      <c r="A27" s="283"/>
      <c r="B27" s="283" t="s">
        <v>261</v>
      </c>
      <c r="C27" s="283"/>
      <c r="D27" s="283"/>
      <c r="E27" s="283"/>
      <c r="F27" s="283"/>
      <c r="G27" s="283"/>
      <c r="H27" s="283"/>
    </row>
    <row r="28" spans="1:14">
      <c r="A28" s="280"/>
      <c r="B28" s="273"/>
      <c r="C28" s="273"/>
      <c r="D28" s="273"/>
      <c r="E28" s="273"/>
      <c r="F28" s="273"/>
      <c r="G28" s="281"/>
      <c r="H28" s="278"/>
    </row>
    <row r="29" spans="1:14" ht="18" customHeight="1">
      <c r="A29" s="278"/>
      <c r="B29" s="278"/>
      <c r="C29" s="278"/>
      <c r="D29" s="278"/>
      <c r="E29" s="278"/>
      <c r="F29" s="278"/>
      <c r="G29" s="278"/>
      <c r="H29" s="278"/>
    </row>
    <row r="30" spans="1:14">
      <c r="A30" s="278"/>
      <c r="B30" s="278"/>
      <c r="C30" s="278"/>
      <c r="D30" s="278"/>
      <c r="E30" s="278"/>
      <c r="F30" s="278"/>
      <c r="G30" s="278"/>
      <c r="H30" s="278"/>
    </row>
    <row r="31" spans="1:14">
      <c r="A31" s="283" t="s">
        <v>262</v>
      </c>
      <c r="B31" s="283"/>
      <c r="C31" s="283"/>
      <c r="D31" s="283"/>
      <c r="E31" s="283"/>
      <c r="F31" s="283"/>
      <c r="G31" s="283"/>
      <c r="H31" s="283"/>
    </row>
    <row r="32" spans="1:14" ht="29.1" customHeight="1">
      <c r="A32" s="289"/>
      <c r="B32" s="287" t="s">
        <v>21</v>
      </c>
      <c r="C32" s="593" t="str">
        <f>見積書!K7</f>
        <v>神奈川県川崎市多摩区南生田５－２－５１F２</v>
      </c>
      <c r="D32" s="593"/>
      <c r="E32" s="593"/>
      <c r="F32" s="593"/>
      <c r="G32" s="593"/>
      <c r="H32" s="283"/>
    </row>
    <row r="33" spans="1:8" ht="17.100000000000001" customHeight="1">
      <c r="A33" s="287"/>
      <c r="B33" s="287"/>
      <c r="C33" s="287"/>
      <c r="D33" s="287"/>
      <c r="E33" s="287"/>
      <c r="F33" s="287"/>
      <c r="G33" s="291"/>
      <c r="H33" s="287"/>
    </row>
    <row r="34" spans="1:8" ht="28.05" customHeight="1">
      <c r="A34" s="283"/>
      <c r="B34" s="283" t="s">
        <v>12</v>
      </c>
      <c r="C34" s="601" t="s">
        <v>2</v>
      </c>
      <c r="D34" s="601"/>
      <c r="E34" s="601"/>
      <c r="F34" s="601"/>
      <c r="G34" s="601"/>
      <c r="H34" s="283"/>
    </row>
    <row r="35" spans="1:8">
      <c r="A35" s="283"/>
      <c r="B35" s="283"/>
      <c r="C35" s="283"/>
      <c r="D35" s="287"/>
      <c r="E35" s="283"/>
      <c r="F35" s="283"/>
      <c r="G35" s="283"/>
      <c r="H35" s="283"/>
    </row>
    <row r="36" spans="1:8" ht="28.05" customHeight="1">
      <c r="A36" s="283"/>
      <c r="B36" s="283" t="s">
        <v>263</v>
      </c>
      <c r="C36" s="601" t="s">
        <v>314</v>
      </c>
      <c r="D36" s="601"/>
      <c r="E36" s="601"/>
      <c r="F36" s="601"/>
      <c r="G36" s="601"/>
      <c r="H36" s="283"/>
    </row>
    <row r="37" spans="1:8" ht="17.100000000000001" customHeight="1">
      <c r="A37" s="287"/>
      <c r="B37" s="287"/>
      <c r="C37" s="287"/>
      <c r="D37" s="287"/>
      <c r="E37" s="287"/>
      <c r="F37" s="287"/>
      <c r="G37" s="291"/>
      <c r="H37" s="287"/>
    </row>
    <row r="38" spans="1:8" ht="28.05" customHeight="1">
      <c r="A38" s="283"/>
      <c r="B38" s="283" t="s">
        <v>261</v>
      </c>
      <c r="C38" s="601" t="str">
        <f>見積書!K8</f>
        <v>TEL ０４４-４００-０５７０</v>
      </c>
      <c r="D38" s="601"/>
      <c r="E38" s="601"/>
      <c r="F38" s="601"/>
      <c r="G38" s="601"/>
      <c r="H38" s="283"/>
    </row>
    <row r="39" spans="1:8">
      <c r="A39" s="283"/>
      <c r="B39" s="283"/>
      <c r="C39" s="283"/>
      <c r="D39" s="287"/>
      <c r="E39" s="283"/>
      <c r="F39" s="283"/>
      <c r="G39" s="283"/>
      <c r="H39" s="283"/>
    </row>
    <row r="40" spans="1:8" ht="28.05" customHeight="1">
      <c r="A40" s="283"/>
      <c r="B40" s="283" t="s">
        <v>264</v>
      </c>
      <c r="C40" s="601"/>
      <c r="D40" s="601"/>
      <c r="E40" s="601"/>
      <c r="F40" s="601"/>
      <c r="G40" s="601"/>
      <c r="H40" s="283"/>
    </row>
    <row r="41" spans="1:8">
      <c r="A41" s="280"/>
      <c r="B41" s="273"/>
      <c r="C41" s="273"/>
      <c r="D41" s="273"/>
      <c r="E41" s="273"/>
      <c r="F41" s="273"/>
      <c r="G41" s="281"/>
      <c r="H41" s="278"/>
    </row>
    <row r="42" spans="1:8">
      <c r="A42" s="280"/>
      <c r="B42" s="273"/>
      <c r="C42" s="273"/>
      <c r="D42" s="273"/>
      <c r="E42" s="273"/>
      <c r="F42" s="273"/>
      <c r="G42" s="281"/>
      <c r="H42" s="278"/>
    </row>
    <row r="43" spans="1:8" ht="39">
      <c r="A43" s="594" t="s">
        <v>237</v>
      </c>
      <c r="B43" s="594"/>
      <c r="C43" s="594"/>
      <c r="D43" s="594"/>
      <c r="E43" s="594"/>
      <c r="F43" s="594"/>
      <c r="G43" s="594"/>
      <c r="H43" s="594"/>
    </row>
    <row r="44" spans="1:8" ht="12" customHeight="1">
      <c r="A44" s="273"/>
      <c r="B44" s="273"/>
      <c r="C44" s="273"/>
      <c r="D44" s="273"/>
      <c r="E44" s="273"/>
      <c r="F44" s="273"/>
      <c r="G44" s="274"/>
      <c r="H44" s="275"/>
    </row>
    <row r="45" spans="1:8">
      <c r="A45" s="595" t="s">
        <v>238</v>
      </c>
      <c r="B45" s="595"/>
      <c r="C45" s="595"/>
      <c r="D45" s="595"/>
      <c r="E45" s="595"/>
      <c r="F45" s="595"/>
      <c r="G45" s="276"/>
      <c r="H45" s="277"/>
    </row>
    <row r="46" spans="1:8">
      <c r="A46" s="595"/>
      <c r="B46" s="595"/>
      <c r="C46" s="595"/>
      <c r="D46" s="595"/>
      <c r="E46" s="595"/>
      <c r="F46" s="595"/>
      <c r="G46" s="277"/>
      <c r="H46" s="278"/>
    </row>
    <row r="47" spans="1:8">
      <c r="A47" s="595"/>
      <c r="B47" s="595"/>
      <c r="C47" s="595"/>
      <c r="D47" s="595"/>
      <c r="E47" s="595"/>
      <c r="F47" s="595"/>
      <c r="G47" s="277"/>
      <c r="H47" s="277"/>
    </row>
    <row r="48" spans="1:8" ht="37.049999999999997" customHeight="1">
      <c r="A48" s="595"/>
      <c r="B48" s="595"/>
      <c r="C48" s="595"/>
      <c r="D48" s="595"/>
      <c r="E48" s="595"/>
      <c r="F48" s="595"/>
      <c r="G48" s="596"/>
      <c r="H48" s="596"/>
    </row>
    <row r="49" spans="1:14" ht="28.05" customHeight="1">
      <c r="A49" s="279" t="s">
        <v>239</v>
      </c>
      <c r="B49" s="597">
        <v>0</v>
      </c>
      <c r="C49" s="597"/>
      <c r="D49" s="597"/>
      <c r="E49" s="597"/>
      <c r="F49" s="597"/>
      <c r="G49" s="597"/>
      <c r="H49" s="597"/>
    </row>
    <row r="50" spans="1:14" ht="28.05" customHeight="1">
      <c r="A50" s="279" t="s">
        <v>240</v>
      </c>
      <c r="B50" s="338">
        <v>0</v>
      </c>
      <c r="C50" s="338"/>
      <c r="D50" s="338"/>
      <c r="E50" s="339"/>
      <c r="F50" s="339"/>
      <c r="G50" s="598"/>
      <c r="H50" s="598"/>
    </row>
    <row r="51" spans="1:14" ht="28.05" customHeight="1">
      <c r="A51" s="279" t="s">
        <v>241</v>
      </c>
      <c r="B51" s="341">
        <f>B9</f>
        <v>0</v>
      </c>
      <c r="C51" s="341" t="s">
        <v>27</v>
      </c>
      <c r="D51" s="341"/>
      <c r="E51" s="339"/>
      <c r="F51" s="339"/>
      <c r="G51" s="598"/>
      <c r="H51" s="598"/>
    </row>
    <row r="52" spans="1:14" s="278" customFormat="1" ht="28.05" customHeight="1">
      <c r="A52" s="279" t="s">
        <v>242</v>
      </c>
      <c r="B52" s="597">
        <f>B10</f>
        <v>0</v>
      </c>
      <c r="C52" s="597"/>
      <c r="D52" s="337"/>
      <c r="E52" s="339"/>
      <c r="F52" s="339"/>
      <c r="G52" s="598"/>
      <c r="H52" s="598"/>
    </row>
    <row r="53" spans="1:14" s="278" customFormat="1">
      <c r="A53" s="280"/>
      <c r="B53" s="342" t="s">
        <v>243</v>
      </c>
      <c r="C53" s="342"/>
      <c r="D53" s="344" t="s">
        <v>244</v>
      </c>
      <c r="E53" s="599">
        <f>E11</f>
        <v>0</v>
      </c>
      <c r="F53" s="599"/>
      <c r="G53" s="345"/>
      <c r="H53" s="346"/>
    </row>
    <row r="54" spans="1:14" s="278" customFormat="1">
      <c r="A54" s="273"/>
      <c r="B54" s="600" t="s">
        <v>245</v>
      </c>
      <c r="C54" s="600"/>
      <c r="D54" s="344" t="s">
        <v>244</v>
      </c>
      <c r="E54" s="599">
        <f>E12</f>
        <v>0</v>
      </c>
      <c r="F54" s="599"/>
      <c r="G54" s="340"/>
      <c r="H54" s="339"/>
    </row>
    <row r="55" spans="1:14" ht="19.8">
      <c r="A55" s="282" t="s">
        <v>246</v>
      </c>
      <c r="B55" s="346"/>
      <c r="C55" s="346"/>
      <c r="D55" s="346"/>
      <c r="E55" s="346"/>
      <c r="F55" s="346"/>
      <c r="G55" s="346"/>
      <c r="H55" s="346"/>
    </row>
    <row r="56" spans="1:14">
      <c r="A56" s="278" t="s">
        <v>247</v>
      </c>
      <c r="B56" s="278" t="s">
        <v>248</v>
      </c>
      <c r="C56" s="278" t="s">
        <v>249</v>
      </c>
      <c r="D56" s="278" t="s">
        <v>250</v>
      </c>
      <c r="E56" s="278" t="s">
        <v>18</v>
      </c>
      <c r="F56" s="278" t="s">
        <v>251</v>
      </c>
      <c r="G56" s="278" t="s">
        <v>252</v>
      </c>
      <c r="H56" s="278" t="s">
        <v>20</v>
      </c>
    </row>
    <row r="57" spans="1:14">
      <c r="A57" s="283" t="s">
        <v>253</v>
      </c>
      <c r="B57" s="278" t="s">
        <v>254</v>
      </c>
      <c r="C57" s="278"/>
      <c r="D57" s="278"/>
      <c r="E57" s="284"/>
      <c r="F57" s="284"/>
      <c r="G57" s="278"/>
      <c r="H57" s="278"/>
    </row>
    <row r="58" spans="1:14">
      <c r="A58" s="285" t="s">
        <v>255</v>
      </c>
      <c r="B58" s="273"/>
      <c r="C58" s="273"/>
      <c r="D58" s="273"/>
      <c r="E58" s="286"/>
      <c r="F58" s="286"/>
      <c r="G58" s="281"/>
      <c r="H58" s="278"/>
    </row>
    <row r="59" spans="1:14">
      <c r="A59" s="287" t="s">
        <v>255</v>
      </c>
      <c r="B59" s="273"/>
      <c r="C59" s="273"/>
      <c r="D59" s="273"/>
      <c r="E59" s="286"/>
      <c r="F59" s="286"/>
      <c r="G59" s="277"/>
      <c r="H59" s="273"/>
      <c r="N59" s="278"/>
    </row>
    <row r="60" spans="1:14">
      <c r="A60" s="278" t="s">
        <v>256</v>
      </c>
      <c r="B60" s="278" t="s">
        <v>257</v>
      </c>
      <c r="C60" s="278"/>
      <c r="D60" s="278"/>
      <c r="E60" s="278"/>
      <c r="F60" s="278"/>
      <c r="G60" s="278"/>
      <c r="H60" s="278"/>
    </row>
    <row r="61" spans="1:14" ht="23.1" customHeight="1">
      <c r="A61" s="280"/>
      <c r="B61" s="273"/>
      <c r="C61" s="273"/>
      <c r="D61" s="273"/>
      <c r="E61" s="273"/>
      <c r="F61" s="273"/>
      <c r="G61" s="281"/>
      <c r="H61" s="278"/>
    </row>
    <row r="62" spans="1:14" ht="22.2">
      <c r="A62" s="288" t="s">
        <v>258</v>
      </c>
      <c r="B62" s="288"/>
      <c r="C62" s="288"/>
      <c r="D62" s="288"/>
      <c r="E62" s="273"/>
      <c r="F62" s="273"/>
      <c r="G62" s="277"/>
      <c r="H62" s="273"/>
    </row>
    <row r="63" spans="1:14">
      <c r="A63" s="278"/>
      <c r="B63" s="278"/>
      <c r="C63" s="278"/>
      <c r="D63" s="278"/>
      <c r="E63" s="278"/>
      <c r="F63" s="278"/>
      <c r="G63" s="278"/>
      <c r="H63" s="278"/>
    </row>
    <row r="64" spans="1:14">
      <c r="A64" s="283" t="s">
        <v>259</v>
      </c>
      <c r="B64" s="283"/>
      <c r="C64" s="283"/>
      <c r="D64" s="283"/>
      <c r="E64" s="283"/>
      <c r="F64" s="283"/>
      <c r="G64" s="283"/>
      <c r="H64" s="283"/>
    </row>
    <row r="65" spans="1:8" ht="29.1" customHeight="1">
      <c r="A65" s="289"/>
      <c r="B65" s="287" t="s">
        <v>21</v>
      </c>
      <c r="C65" s="287"/>
      <c r="D65" s="287"/>
      <c r="E65" s="287"/>
      <c r="F65" s="287"/>
      <c r="G65" s="290"/>
      <c r="H65" s="283"/>
    </row>
    <row r="66" spans="1:8" ht="17.100000000000001" customHeight="1">
      <c r="A66" s="287"/>
      <c r="B66" s="287"/>
      <c r="C66" s="287"/>
      <c r="D66" s="287"/>
      <c r="E66" s="287"/>
      <c r="F66" s="287"/>
      <c r="G66" s="291"/>
      <c r="H66" s="287"/>
    </row>
    <row r="67" spans="1:8" ht="28.05" customHeight="1">
      <c r="A67" s="283"/>
      <c r="B67" s="283" t="s">
        <v>260</v>
      </c>
      <c r="C67" s="283"/>
      <c r="D67" s="283"/>
      <c r="E67" s="283"/>
      <c r="F67" s="283"/>
      <c r="G67" s="283"/>
      <c r="H67" s="283"/>
    </row>
    <row r="68" spans="1:8">
      <c r="A68" s="283"/>
      <c r="B68" s="283"/>
      <c r="C68" s="283"/>
      <c r="D68" s="287"/>
      <c r="E68" s="283"/>
      <c r="F68" s="283"/>
      <c r="G68" s="283"/>
      <c r="H68" s="283"/>
    </row>
    <row r="69" spans="1:8" ht="28.05" customHeight="1">
      <c r="A69" s="283"/>
      <c r="B69" s="283" t="s">
        <v>261</v>
      </c>
      <c r="C69" s="283"/>
      <c r="D69" s="283"/>
      <c r="E69" s="283"/>
      <c r="F69" s="283"/>
      <c r="G69" s="283"/>
      <c r="H69" s="283"/>
    </row>
    <row r="70" spans="1:8">
      <c r="A70" s="280"/>
      <c r="B70" s="273"/>
      <c r="C70" s="273"/>
      <c r="D70" s="273"/>
      <c r="E70" s="273"/>
      <c r="F70" s="273"/>
      <c r="G70" s="281"/>
      <c r="H70" s="278"/>
    </row>
    <row r="71" spans="1:8" ht="18" customHeight="1">
      <c r="A71" s="278"/>
      <c r="B71" s="278"/>
      <c r="C71" s="278"/>
      <c r="D71" s="278"/>
      <c r="E71" s="278"/>
      <c r="F71" s="278"/>
      <c r="G71" s="278"/>
      <c r="H71" s="278"/>
    </row>
    <row r="72" spans="1:8">
      <c r="A72" s="278"/>
      <c r="B72" s="278"/>
      <c r="C72" s="278"/>
      <c r="D72" s="278"/>
      <c r="E72" s="278"/>
      <c r="F72" s="278"/>
      <c r="G72" s="278"/>
      <c r="H72" s="278"/>
    </row>
    <row r="73" spans="1:8">
      <c r="A73" s="283" t="s">
        <v>262</v>
      </c>
      <c r="B73" s="283"/>
      <c r="C73" s="283"/>
      <c r="D73" s="283"/>
      <c r="E73" s="283"/>
      <c r="F73" s="283"/>
      <c r="G73" s="283"/>
      <c r="H73" s="283"/>
    </row>
    <row r="74" spans="1:8" ht="29.1" customHeight="1">
      <c r="A74" s="289"/>
      <c r="B74" s="287" t="s">
        <v>21</v>
      </c>
      <c r="C74" s="593" t="str">
        <f>C32</f>
        <v>神奈川県川崎市多摩区南生田５－２－５１F２</v>
      </c>
      <c r="D74" s="593"/>
      <c r="E74" s="593"/>
      <c r="F74" s="593"/>
      <c r="G74" s="593"/>
      <c r="H74" s="283"/>
    </row>
    <row r="75" spans="1:8" ht="17.100000000000001" customHeight="1">
      <c r="A75" s="287"/>
      <c r="B75" s="287"/>
      <c r="C75" s="287"/>
      <c r="D75" s="287"/>
      <c r="E75" s="287"/>
      <c r="F75" s="287"/>
      <c r="G75" s="291"/>
      <c r="H75" s="287"/>
    </row>
    <row r="76" spans="1:8" ht="28.05" customHeight="1">
      <c r="A76" s="283"/>
      <c r="B76" s="283" t="s">
        <v>12</v>
      </c>
      <c r="C76" s="601" t="s">
        <v>2</v>
      </c>
      <c r="D76" s="601"/>
      <c r="E76" s="601"/>
      <c r="F76" s="601"/>
      <c r="G76" s="601"/>
      <c r="H76" s="283"/>
    </row>
    <row r="77" spans="1:8">
      <c r="A77" s="283"/>
      <c r="B77" s="283"/>
      <c r="C77" s="283"/>
      <c r="D77" s="287"/>
      <c r="E77" s="283"/>
      <c r="F77" s="283"/>
      <c r="G77" s="283"/>
      <c r="H77" s="283"/>
    </row>
    <row r="78" spans="1:8" ht="28.05" customHeight="1">
      <c r="A78" s="283"/>
      <c r="B78" s="283" t="s">
        <v>263</v>
      </c>
      <c r="C78" s="601" t="str">
        <f>請負契約書!C36</f>
        <v>藤原　祐二</v>
      </c>
      <c r="D78" s="601"/>
      <c r="E78" s="601"/>
      <c r="F78" s="601"/>
      <c r="G78" s="601"/>
      <c r="H78" s="283"/>
    </row>
    <row r="79" spans="1:8" ht="17.100000000000001" customHeight="1">
      <c r="A79" s="287"/>
      <c r="B79" s="287"/>
      <c r="C79" s="287"/>
      <c r="D79" s="287"/>
      <c r="E79" s="287"/>
      <c r="F79" s="287"/>
      <c r="G79" s="291"/>
      <c r="H79" s="287"/>
    </row>
    <row r="80" spans="1:8" ht="28.05" customHeight="1">
      <c r="A80" s="283"/>
      <c r="B80" s="283" t="s">
        <v>261</v>
      </c>
      <c r="C80" s="601" t="str">
        <f>C38</f>
        <v>TEL ０４４-４００-０５７０</v>
      </c>
      <c r="D80" s="601"/>
      <c r="E80" s="601"/>
      <c r="F80" s="601"/>
      <c r="G80" s="601"/>
      <c r="H80" s="283"/>
    </row>
    <row r="81" spans="1:8">
      <c r="A81" s="283"/>
      <c r="B81" s="283"/>
      <c r="C81" s="283"/>
      <c r="D81" s="287"/>
      <c r="E81" s="283"/>
      <c r="F81" s="283"/>
      <c r="G81" s="283"/>
      <c r="H81" s="283"/>
    </row>
    <row r="82" spans="1:8" ht="28.05" customHeight="1">
      <c r="A82" s="283"/>
      <c r="B82" s="283" t="s">
        <v>264</v>
      </c>
      <c r="C82" s="601"/>
      <c r="D82" s="601"/>
      <c r="E82" s="601"/>
      <c r="F82" s="601"/>
      <c r="G82" s="601"/>
      <c r="H82" s="283"/>
    </row>
    <row r="83" spans="1:8">
      <c r="A83" s="280"/>
      <c r="B83" s="273"/>
      <c r="C83" s="273"/>
      <c r="D83" s="273"/>
      <c r="E83" s="273"/>
      <c r="F83" s="273"/>
      <c r="G83" s="281"/>
      <c r="H83" s="278"/>
    </row>
    <row r="84" spans="1:8">
      <c r="A84" s="280"/>
      <c r="B84" s="273"/>
      <c r="C84" s="273"/>
      <c r="D84" s="273"/>
      <c r="E84" s="273"/>
      <c r="F84" s="273"/>
      <c r="G84" s="281"/>
      <c r="H84" s="278"/>
    </row>
  </sheetData>
  <mergeCells count="32">
    <mergeCell ref="C82:G82"/>
    <mergeCell ref="B54:C54"/>
    <mergeCell ref="E54:F54"/>
    <mergeCell ref="C74:G74"/>
    <mergeCell ref="C76:G76"/>
    <mergeCell ref="C78:G78"/>
    <mergeCell ref="C80:G80"/>
    <mergeCell ref="E53:F53"/>
    <mergeCell ref="C34:G34"/>
    <mergeCell ref="C36:G36"/>
    <mergeCell ref="C38:G38"/>
    <mergeCell ref="C40:G40"/>
    <mergeCell ref="A43:H43"/>
    <mergeCell ref="A45:F48"/>
    <mergeCell ref="G48:H48"/>
    <mergeCell ref="B49:H49"/>
    <mergeCell ref="G50:H50"/>
    <mergeCell ref="G51:H51"/>
    <mergeCell ref="B52:C52"/>
    <mergeCell ref="G52:H52"/>
    <mergeCell ref="C32:G32"/>
    <mergeCell ref="A1:H1"/>
    <mergeCell ref="A3:F6"/>
    <mergeCell ref="G6:H6"/>
    <mergeCell ref="B7:H7"/>
    <mergeCell ref="G8:H8"/>
    <mergeCell ref="G9:H9"/>
    <mergeCell ref="B10:C10"/>
    <mergeCell ref="G10:H10"/>
    <mergeCell ref="E11:F11"/>
    <mergeCell ref="B12:C12"/>
    <mergeCell ref="E12:F12"/>
  </mergeCells>
  <phoneticPr fontId="12"/>
  <printOptions horizontalCentered="1"/>
  <pageMargins left="0.74803149606299213" right="0.74803149606299213" top="0.59055118110236227" bottom="0.59055118110236227" header="0.51181102362204722" footer="0.51181102362204722"/>
  <pageSetup paperSize="9" scale="72" orientation="portrait" r:id="rId1"/>
  <rowBreaks count="1" manualBreakCount="1">
    <brk id="42" max="16383" man="1"/>
  </rowBreaks>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C6971-C771-41C5-9606-35E74A386A96}">
  <sheetPr codeName="Sheet11"/>
  <dimension ref="A1:I80"/>
  <sheetViews>
    <sheetView showGridLines="0" view="pageBreakPreview" zoomScaleNormal="100" workbookViewId="0">
      <selection activeCell="C55" sqref="C55:I65"/>
    </sheetView>
  </sheetViews>
  <sheetFormatPr defaultColWidth="8.69921875" defaultRowHeight="16.5" customHeight="1"/>
  <cols>
    <col min="1" max="8" width="8.69921875" style="269"/>
    <col min="9" max="9" width="8.796875" style="269" customWidth="1"/>
    <col min="10" max="16384" width="8.69921875" style="269"/>
  </cols>
  <sheetData>
    <row r="1" spans="1:9" ht="16.5" customHeight="1">
      <c r="G1" s="292" t="s">
        <v>265</v>
      </c>
      <c r="H1" s="605">
        <f ca="1">TODAY()</f>
        <v>46224</v>
      </c>
      <c r="I1" s="606"/>
    </row>
    <row r="2" spans="1:9" ht="16.5" customHeight="1">
      <c r="A2" s="607">
        <f>物件概要!C1</f>
        <v>0</v>
      </c>
      <c r="B2" s="607"/>
      <c r="C2" s="607"/>
      <c r="D2" s="292" t="s">
        <v>266</v>
      </c>
    </row>
    <row r="5" spans="1:9" ht="16.5" customHeight="1">
      <c r="F5" s="270"/>
      <c r="G5" s="270" t="s">
        <v>2</v>
      </c>
      <c r="H5" s="270"/>
      <c r="I5" s="270"/>
    </row>
    <row r="6" spans="1:9" ht="16.5" customHeight="1">
      <c r="F6" s="270"/>
      <c r="G6" s="347" t="str">
        <f>見積書!K5</f>
        <v>神奈川県知事 許可（般- 6）第 92760 号</v>
      </c>
      <c r="H6" s="270"/>
      <c r="I6" s="270"/>
    </row>
    <row r="7" spans="1:9" ht="16.5" customHeight="1">
      <c r="F7" s="270"/>
      <c r="G7" s="348" t="str">
        <f>見積書!K7</f>
        <v>神奈川県川崎市多摩区南生田５－２－５１F２</v>
      </c>
      <c r="H7" s="270"/>
      <c r="I7" s="270"/>
    </row>
    <row r="8" spans="1:9" ht="16.5" customHeight="1">
      <c r="F8" s="270"/>
      <c r="G8" s="270" t="str">
        <f>見積書!K8</f>
        <v>TEL ０４４-４００-０５７０</v>
      </c>
      <c r="H8" s="270"/>
      <c r="I8" s="270"/>
    </row>
    <row r="9" spans="1:9" ht="16.5" customHeight="1">
      <c r="F9" s="270"/>
      <c r="G9" s="270" t="str">
        <f>見積書!K9</f>
        <v>FAX ０４４-４００-０５７１</v>
      </c>
      <c r="H9" s="270"/>
      <c r="I9" s="270"/>
    </row>
    <row r="11" spans="1:9" ht="30.75" customHeight="1">
      <c r="A11" s="608" t="s">
        <v>267</v>
      </c>
      <c r="B11" s="608"/>
      <c r="C11" s="608"/>
      <c r="D11" s="608"/>
      <c r="E11" s="608"/>
      <c r="F11" s="608"/>
      <c r="G11" s="608"/>
      <c r="H11" s="608"/>
      <c r="I11" s="608"/>
    </row>
    <row r="13" spans="1:9" ht="22.5" customHeight="1">
      <c r="A13" s="602" t="s">
        <v>268</v>
      </c>
      <c r="B13" s="603"/>
      <c r="C13" s="602">
        <f>物件概要!C4</f>
        <v>0</v>
      </c>
      <c r="D13" s="604"/>
      <c r="E13" s="604"/>
      <c r="F13" s="604"/>
      <c r="G13" s="604"/>
      <c r="H13" s="604"/>
      <c r="I13" s="603"/>
    </row>
    <row r="14" spans="1:9" ht="22.5" customHeight="1">
      <c r="A14" s="602" t="s">
        <v>21</v>
      </c>
      <c r="B14" s="603"/>
      <c r="C14" s="602">
        <f>物件概要!C3</f>
        <v>0</v>
      </c>
      <c r="D14" s="604"/>
      <c r="E14" s="604"/>
      <c r="F14" s="604"/>
      <c r="G14" s="604"/>
      <c r="H14" s="604"/>
      <c r="I14" s="603"/>
    </row>
    <row r="15" spans="1:9" ht="16.5" customHeight="1">
      <c r="A15" s="609" t="s">
        <v>269</v>
      </c>
      <c r="B15" s="610"/>
      <c r="C15" s="615" t="s">
        <v>270</v>
      </c>
      <c r="D15" s="616"/>
      <c r="E15" s="616"/>
      <c r="F15" s="616"/>
      <c r="G15" s="616"/>
      <c r="H15" s="616"/>
      <c r="I15" s="617"/>
    </row>
    <row r="16" spans="1:9" ht="16.5" customHeight="1">
      <c r="A16" s="611"/>
      <c r="B16" s="612"/>
      <c r="C16" s="618"/>
      <c r="D16" s="578"/>
      <c r="E16" s="578"/>
      <c r="F16" s="578"/>
      <c r="G16" s="578"/>
      <c r="H16" s="578"/>
      <c r="I16" s="619"/>
    </row>
    <row r="17" spans="1:9" ht="16.5" customHeight="1">
      <c r="A17" s="611"/>
      <c r="B17" s="612"/>
      <c r="C17" s="618"/>
      <c r="D17" s="578"/>
      <c r="E17" s="578"/>
      <c r="F17" s="578"/>
      <c r="G17" s="578"/>
      <c r="H17" s="578"/>
      <c r="I17" s="619"/>
    </row>
    <row r="18" spans="1:9" ht="16.5" customHeight="1">
      <c r="A18" s="611"/>
      <c r="B18" s="612"/>
      <c r="C18" s="618"/>
      <c r="D18" s="578"/>
      <c r="E18" s="578"/>
      <c r="F18" s="578"/>
      <c r="G18" s="578"/>
      <c r="H18" s="578"/>
      <c r="I18" s="619"/>
    </row>
    <row r="19" spans="1:9" ht="16.5" customHeight="1">
      <c r="A19" s="611"/>
      <c r="B19" s="612"/>
      <c r="C19" s="618"/>
      <c r="D19" s="578"/>
      <c r="E19" s="578"/>
      <c r="F19" s="578"/>
      <c r="G19" s="578"/>
      <c r="H19" s="578"/>
      <c r="I19" s="619"/>
    </row>
    <row r="20" spans="1:9" ht="16.5" customHeight="1">
      <c r="A20" s="611"/>
      <c r="B20" s="612"/>
      <c r="C20" s="618"/>
      <c r="D20" s="578"/>
      <c r="E20" s="578"/>
      <c r="F20" s="578"/>
      <c r="G20" s="578"/>
      <c r="H20" s="578"/>
      <c r="I20" s="619"/>
    </row>
    <row r="21" spans="1:9" ht="16.5" customHeight="1">
      <c r="A21" s="611"/>
      <c r="B21" s="612"/>
      <c r="C21" s="618"/>
      <c r="D21" s="578"/>
      <c r="E21" s="578"/>
      <c r="F21" s="578"/>
      <c r="G21" s="578"/>
      <c r="H21" s="578"/>
      <c r="I21" s="619"/>
    </row>
    <row r="22" spans="1:9" ht="16.5" customHeight="1">
      <c r="A22" s="611"/>
      <c r="B22" s="612"/>
      <c r="C22" s="618"/>
      <c r="D22" s="578"/>
      <c r="E22" s="578"/>
      <c r="F22" s="578"/>
      <c r="G22" s="578"/>
      <c r="H22" s="578"/>
      <c r="I22" s="619"/>
    </row>
    <row r="23" spans="1:9" ht="16.5" customHeight="1">
      <c r="A23" s="611"/>
      <c r="B23" s="612"/>
      <c r="C23" s="618"/>
      <c r="D23" s="578"/>
      <c r="E23" s="578"/>
      <c r="F23" s="578"/>
      <c r="G23" s="578"/>
      <c r="H23" s="578"/>
      <c r="I23" s="619"/>
    </row>
    <row r="24" spans="1:9" ht="16.5" customHeight="1">
      <c r="A24" s="611"/>
      <c r="B24" s="612"/>
      <c r="C24" s="618"/>
      <c r="D24" s="578"/>
      <c r="E24" s="578"/>
      <c r="F24" s="578"/>
      <c r="G24" s="578"/>
      <c r="H24" s="578"/>
      <c r="I24" s="619"/>
    </row>
    <row r="25" spans="1:9" ht="16.5" customHeight="1">
      <c r="A25" s="613"/>
      <c r="B25" s="614"/>
      <c r="C25" s="620"/>
      <c r="D25" s="606"/>
      <c r="E25" s="606"/>
      <c r="F25" s="606"/>
      <c r="G25" s="606"/>
      <c r="H25" s="606"/>
      <c r="I25" s="621"/>
    </row>
    <row r="26" spans="1:9" ht="16.5" customHeight="1">
      <c r="A26" s="609" t="s">
        <v>271</v>
      </c>
      <c r="B26" s="610"/>
      <c r="C26" s="615"/>
      <c r="D26" s="616"/>
      <c r="E26" s="616"/>
      <c r="F26" s="616"/>
      <c r="G26" s="616"/>
      <c r="H26" s="616"/>
      <c r="I26" s="617"/>
    </row>
    <row r="27" spans="1:9" ht="16.5" customHeight="1">
      <c r="A27" s="611"/>
      <c r="B27" s="612"/>
      <c r="C27" s="618"/>
      <c r="D27" s="578"/>
      <c r="E27" s="578"/>
      <c r="F27" s="578"/>
      <c r="G27" s="578"/>
      <c r="H27" s="578"/>
      <c r="I27" s="619"/>
    </row>
    <row r="28" spans="1:9" ht="16.5" customHeight="1">
      <c r="A28" s="611"/>
      <c r="B28" s="612"/>
      <c r="C28" s="618"/>
      <c r="D28" s="578"/>
      <c r="E28" s="578"/>
      <c r="F28" s="578"/>
      <c r="G28" s="578"/>
      <c r="H28" s="578"/>
      <c r="I28" s="619"/>
    </row>
    <row r="29" spans="1:9" ht="16.5" customHeight="1">
      <c r="A29" s="611"/>
      <c r="B29" s="612"/>
      <c r="C29" s="618"/>
      <c r="D29" s="578"/>
      <c r="E29" s="578"/>
      <c r="F29" s="578"/>
      <c r="G29" s="578"/>
      <c r="H29" s="578"/>
      <c r="I29" s="619"/>
    </row>
    <row r="30" spans="1:9" ht="16.5" customHeight="1">
      <c r="A30" s="611"/>
      <c r="B30" s="612"/>
      <c r="C30" s="618"/>
      <c r="D30" s="578"/>
      <c r="E30" s="578"/>
      <c r="F30" s="578"/>
      <c r="G30" s="578"/>
      <c r="H30" s="578"/>
      <c r="I30" s="619"/>
    </row>
    <row r="31" spans="1:9" ht="16.5" customHeight="1">
      <c r="A31" s="611"/>
      <c r="B31" s="612"/>
      <c r="C31" s="618"/>
      <c r="D31" s="578"/>
      <c r="E31" s="578"/>
      <c r="F31" s="578"/>
      <c r="G31" s="578"/>
      <c r="H31" s="578"/>
      <c r="I31" s="619"/>
    </row>
    <row r="32" spans="1:9" ht="16.5" customHeight="1">
      <c r="A32" s="613"/>
      <c r="B32" s="614"/>
      <c r="C32" s="620"/>
      <c r="D32" s="606"/>
      <c r="E32" s="606"/>
      <c r="F32" s="606"/>
      <c r="G32" s="606"/>
      <c r="H32" s="606"/>
      <c r="I32" s="621"/>
    </row>
    <row r="33" spans="1:9" ht="12" customHeight="1"/>
    <row r="34" spans="1:9" ht="16.5" customHeight="1">
      <c r="A34" s="270" t="s">
        <v>272</v>
      </c>
    </row>
    <row r="35" spans="1:9" ht="16.5" customHeight="1">
      <c r="A35" s="578" t="s">
        <v>273</v>
      </c>
      <c r="B35" s="578"/>
      <c r="C35" s="578"/>
      <c r="D35" s="578"/>
      <c r="E35" s="578"/>
      <c r="F35" s="578"/>
    </row>
    <row r="36" spans="1:9" ht="16.5" customHeight="1">
      <c r="A36" s="578" t="s">
        <v>315</v>
      </c>
      <c r="B36" s="578"/>
      <c r="C36" s="578"/>
      <c r="D36" s="578"/>
      <c r="E36" s="578"/>
      <c r="F36" s="578"/>
    </row>
    <row r="37" spans="1:9" ht="16.5" customHeight="1">
      <c r="A37" s="578" t="s">
        <v>228</v>
      </c>
      <c r="B37" s="578"/>
      <c r="C37" s="578"/>
      <c r="D37" s="578"/>
      <c r="E37" s="578"/>
      <c r="F37" s="578"/>
      <c r="H37" s="271" t="s">
        <v>227</v>
      </c>
      <c r="I37" s="271" t="s">
        <v>226</v>
      </c>
    </row>
    <row r="38" spans="1:9" ht="16.5" customHeight="1">
      <c r="H38" s="579"/>
      <c r="I38" s="579"/>
    </row>
    <row r="39" spans="1:9" ht="16.5" customHeight="1">
      <c r="H39" s="580"/>
      <c r="I39" s="580"/>
    </row>
    <row r="40" spans="1:9" ht="16.5" customHeight="1">
      <c r="H40" s="581"/>
      <c r="I40" s="581"/>
    </row>
    <row r="41" spans="1:9" ht="16.5" customHeight="1">
      <c r="G41" s="292" t="s">
        <v>265</v>
      </c>
      <c r="H41" s="605">
        <f ca="1">TODAY()</f>
        <v>46224</v>
      </c>
      <c r="I41" s="606"/>
    </row>
    <row r="42" spans="1:9" ht="16.5" customHeight="1">
      <c r="A42" s="607">
        <f>物件概要!C1</f>
        <v>0</v>
      </c>
      <c r="B42" s="607"/>
      <c r="C42" s="607"/>
      <c r="D42" s="292" t="s">
        <v>266</v>
      </c>
    </row>
    <row r="45" spans="1:9" ht="16.5" customHeight="1">
      <c r="F45" s="270"/>
      <c r="G45" s="270" t="s">
        <v>2</v>
      </c>
      <c r="H45" s="270"/>
      <c r="I45" s="270"/>
    </row>
    <row r="46" spans="1:9" ht="16.5" customHeight="1">
      <c r="F46" s="270"/>
      <c r="G46" s="347" t="str">
        <f>見積書!K5</f>
        <v>神奈川県知事 許可（般- 6）第 92760 号</v>
      </c>
      <c r="H46" s="270"/>
      <c r="I46" s="270"/>
    </row>
    <row r="47" spans="1:9" ht="16.5" customHeight="1">
      <c r="F47" s="270"/>
      <c r="G47" s="348" t="str">
        <f>見積書!K7</f>
        <v>神奈川県川崎市多摩区南生田５－２－５１F２</v>
      </c>
      <c r="H47" s="270"/>
      <c r="I47" s="270"/>
    </row>
    <row r="48" spans="1:9" ht="16.5" customHeight="1">
      <c r="F48" s="270"/>
      <c r="G48" s="270" t="str">
        <f>見積書!K8</f>
        <v>TEL ０４４-４００-０５７０</v>
      </c>
      <c r="H48" s="270"/>
      <c r="I48" s="270"/>
    </row>
    <row r="49" spans="1:9" ht="16.5" customHeight="1">
      <c r="F49" s="270"/>
      <c r="G49" s="270" t="str">
        <f>見積書!K9</f>
        <v>FAX ０４４-４００-０５７１</v>
      </c>
      <c r="H49" s="270"/>
      <c r="I49" s="270"/>
    </row>
    <row r="51" spans="1:9" ht="30.75" customHeight="1">
      <c r="A51" s="608" t="s">
        <v>267</v>
      </c>
      <c r="B51" s="608"/>
      <c r="C51" s="608"/>
      <c r="D51" s="608"/>
      <c r="E51" s="608"/>
      <c r="F51" s="608"/>
      <c r="G51" s="608"/>
      <c r="H51" s="608"/>
      <c r="I51" s="608"/>
    </row>
    <row r="53" spans="1:9" ht="22.5" customHeight="1">
      <c r="A53" s="602" t="s">
        <v>268</v>
      </c>
      <c r="B53" s="603"/>
      <c r="C53" s="602">
        <f>物件概要!C4</f>
        <v>0</v>
      </c>
      <c r="D53" s="604"/>
      <c r="E53" s="604"/>
      <c r="F53" s="604"/>
      <c r="G53" s="604"/>
      <c r="H53" s="604"/>
      <c r="I53" s="603"/>
    </row>
    <row r="54" spans="1:9" ht="22.5" customHeight="1">
      <c r="A54" s="602" t="s">
        <v>21</v>
      </c>
      <c r="B54" s="603"/>
      <c r="C54" s="602">
        <f>物件概要!C3</f>
        <v>0</v>
      </c>
      <c r="D54" s="604"/>
      <c r="E54" s="604"/>
      <c r="F54" s="604"/>
      <c r="G54" s="604"/>
      <c r="H54" s="604"/>
      <c r="I54" s="603"/>
    </row>
    <row r="55" spans="1:9" ht="16.5" customHeight="1">
      <c r="A55" s="609" t="s">
        <v>269</v>
      </c>
      <c r="B55" s="610"/>
      <c r="C55" s="615" t="s">
        <v>270</v>
      </c>
      <c r="D55" s="616"/>
      <c r="E55" s="616"/>
      <c r="F55" s="616"/>
      <c r="G55" s="616"/>
      <c r="H55" s="616"/>
      <c r="I55" s="617"/>
    </row>
    <row r="56" spans="1:9" ht="16.5" customHeight="1">
      <c r="A56" s="611"/>
      <c r="B56" s="612"/>
      <c r="C56" s="618"/>
      <c r="D56" s="578"/>
      <c r="E56" s="578"/>
      <c r="F56" s="578"/>
      <c r="G56" s="578"/>
      <c r="H56" s="578"/>
      <c r="I56" s="619"/>
    </row>
    <row r="57" spans="1:9" ht="16.5" customHeight="1">
      <c r="A57" s="611"/>
      <c r="B57" s="612"/>
      <c r="C57" s="618"/>
      <c r="D57" s="578"/>
      <c r="E57" s="578"/>
      <c r="F57" s="578"/>
      <c r="G57" s="578"/>
      <c r="H57" s="578"/>
      <c r="I57" s="619"/>
    </row>
    <row r="58" spans="1:9" ht="16.5" customHeight="1">
      <c r="A58" s="611"/>
      <c r="B58" s="612"/>
      <c r="C58" s="618"/>
      <c r="D58" s="578"/>
      <c r="E58" s="578"/>
      <c r="F58" s="578"/>
      <c r="G58" s="578"/>
      <c r="H58" s="578"/>
      <c r="I58" s="619"/>
    </row>
    <row r="59" spans="1:9" ht="16.5" customHeight="1">
      <c r="A59" s="611"/>
      <c r="B59" s="612"/>
      <c r="C59" s="618"/>
      <c r="D59" s="578"/>
      <c r="E59" s="578"/>
      <c r="F59" s="578"/>
      <c r="G59" s="578"/>
      <c r="H59" s="578"/>
      <c r="I59" s="619"/>
    </row>
    <row r="60" spans="1:9" ht="16.5" customHeight="1">
      <c r="A60" s="611"/>
      <c r="B60" s="612"/>
      <c r="C60" s="618"/>
      <c r="D60" s="578"/>
      <c r="E60" s="578"/>
      <c r="F60" s="578"/>
      <c r="G60" s="578"/>
      <c r="H60" s="578"/>
      <c r="I60" s="619"/>
    </row>
    <row r="61" spans="1:9" ht="16.5" customHeight="1">
      <c r="A61" s="611"/>
      <c r="B61" s="612"/>
      <c r="C61" s="618"/>
      <c r="D61" s="578"/>
      <c r="E61" s="578"/>
      <c r="F61" s="578"/>
      <c r="G61" s="578"/>
      <c r="H61" s="578"/>
      <c r="I61" s="619"/>
    </row>
    <row r="62" spans="1:9" ht="16.5" customHeight="1">
      <c r="A62" s="611"/>
      <c r="B62" s="612"/>
      <c r="C62" s="618"/>
      <c r="D62" s="578"/>
      <c r="E62" s="578"/>
      <c r="F62" s="578"/>
      <c r="G62" s="578"/>
      <c r="H62" s="578"/>
      <c r="I62" s="619"/>
    </row>
    <row r="63" spans="1:9" ht="16.5" customHeight="1">
      <c r="A63" s="611"/>
      <c r="B63" s="612"/>
      <c r="C63" s="618"/>
      <c r="D63" s="578"/>
      <c r="E63" s="578"/>
      <c r="F63" s="578"/>
      <c r="G63" s="578"/>
      <c r="H63" s="578"/>
      <c r="I63" s="619"/>
    </row>
    <row r="64" spans="1:9" ht="16.5" customHeight="1">
      <c r="A64" s="611"/>
      <c r="B64" s="612"/>
      <c r="C64" s="618"/>
      <c r="D64" s="578"/>
      <c r="E64" s="578"/>
      <c r="F64" s="578"/>
      <c r="G64" s="578"/>
      <c r="H64" s="578"/>
      <c r="I64" s="619"/>
    </row>
    <row r="65" spans="1:9" ht="16.5" customHeight="1">
      <c r="A65" s="613"/>
      <c r="B65" s="614"/>
      <c r="C65" s="620"/>
      <c r="D65" s="606"/>
      <c r="E65" s="606"/>
      <c r="F65" s="606"/>
      <c r="G65" s="606"/>
      <c r="H65" s="606"/>
      <c r="I65" s="621"/>
    </row>
    <row r="66" spans="1:9" ht="16.5" customHeight="1">
      <c r="A66" s="609" t="s">
        <v>271</v>
      </c>
      <c r="B66" s="610"/>
      <c r="C66" s="615"/>
      <c r="D66" s="616"/>
      <c r="E66" s="616"/>
      <c r="F66" s="616"/>
      <c r="G66" s="616"/>
      <c r="H66" s="616"/>
      <c r="I66" s="617"/>
    </row>
    <row r="67" spans="1:9" ht="16.5" customHeight="1">
      <c r="A67" s="611"/>
      <c r="B67" s="612"/>
      <c r="C67" s="618"/>
      <c r="D67" s="578"/>
      <c r="E67" s="578"/>
      <c r="F67" s="578"/>
      <c r="G67" s="578"/>
      <c r="H67" s="578"/>
      <c r="I67" s="619"/>
    </row>
    <row r="68" spans="1:9" ht="16.5" customHeight="1">
      <c r="A68" s="611"/>
      <c r="B68" s="612"/>
      <c r="C68" s="618"/>
      <c r="D68" s="578"/>
      <c r="E68" s="578"/>
      <c r="F68" s="578"/>
      <c r="G68" s="578"/>
      <c r="H68" s="578"/>
      <c r="I68" s="619"/>
    </row>
    <row r="69" spans="1:9" ht="16.5" customHeight="1">
      <c r="A69" s="611"/>
      <c r="B69" s="612"/>
      <c r="C69" s="618"/>
      <c r="D69" s="578"/>
      <c r="E69" s="578"/>
      <c r="F69" s="578"/>
      <c r="G69" s="578"/>
      <c r="H69" s="578"/>
      <c r="I69" s="619"/>
    </row>
    <row r="70" spans="1:9" ht="16.5" customHeight="1">
      <c r="A70" s="611"/>
      <c r="B70" s="612"/>
      <c r="C70" s="618"/>
      <c r="D70" s="578"/>
      <c r="E70" s="578"/>
      <c r="F70" s="578"/>
      <c r="G70" s="578"/>
      <c r="H70" s="578"/>
      <c r="I70" s="619"/>
    </row>
    <row r="71" spans="1:9" ht="16.5" customHeight="1">
      <c r="A71" s="611"/>
      <c r="B71" s="612"/>
      <c r="C71" s="618"/>
      <c r="D71" s="578"/>
      <c r="E71" s="578"/>
      <c r="F71" s="578"/>
      <c r="G71" s="578"/>
      <c r="H71" s="578"/>
      <c r="I71" s="619"/>
    </row>
    <row r="72" spans="1:9" ht="16.5" customHeight="1">
      <c r="A72" s="613"/>
      <c r="B72" s="614"/>
      <c r="C72" s="620"/>
      <c r="D72" s="606"/>
      <c r="E72" s="606"/>
      <c r="F72" s="606"/>
      <c r="G72" s="606"/>
      <c r="H72" s="606"/>
      <c r="I72" s="621"/>
    </row>
    <row r="73" spans="1:9" ht="12" customHeight="1"/>
    <row r="74" spans="1:9" ht="16.5" customHeight="1">
      <c r="A74" s="270" t="s">
        <v>272</v>
      </c>
    </row>
    <row r="75" spans="1:9" ht="16.5" customHeight="1">
      <c r="A75" s="578" t="s">
        <v>273</v>
      </c>
      <c r="B75" s="578"/>
      <c r="C75" s="578"/>
      <c r="D75" s="578"/>
      <c r="E75" s="578"/>
      <c r="F75" s="578"/>
    </row>
    <row r="76" spans="1:9" ht="16.5" customHeight="1">
      <c r="A76" s="578" t="s">
        <v>315</v>
      </c>
      <c r="B76" s="578"/>
      <c r="C76" s="578"/>
      <c r="D76" s="578"/>
      <c r="E76" s="578"/>
      <c r="F76" s="578"/>
    </row>
    <row r="77" spans="1:9" ht="16.5" customHeight="1">
      <c r="A77" s="578" t="s">
        <v>228</v>
      </c>
      <c r="B77" s="578"/>
      <c r="C77" s="578"/>
      <c r="D77" s="578"/>
      <c r="E77" s="578"/>
      <c r="F77" s="578"/>
      <c r="H77" s="271" t="s">
        <v>227</v>
      </c>
      <c r="I77" s="271" t="s">
        <v>226</v>
      </c>
    </row>
    <row r="78" spans="1:9" ht="16.5" customHeight="1">
      <c r="H78" s="579"/>
      <c r="I78" s="579"/>
    </row>
    <row r="79" spans="1:9" ht="16.5" customHeight="1">
      <c r="H79" s="580"/>
      <c r="I79" s="580"/>
    </row>
    <row r="80" spans="1:9" ht="16.5" customHeight="1">
      <c r="H80" s="581"/>
      <c r="I80" s="581"/>
    </row>
  </sheetData>
  <sheetProtection sheet="1" objects="1" scenarios="1"/>
  <mergeCells count="32">
    <mergeCell ref="H78:H80"/>
    <mergeCell ref="I78:I80"/>
    <mergeCell ref="A53:B53"/>
    <mergeCell ref="C53:I53"/>
    <mergeCell ref="A54:B54"/>
    <mergeCell ref="C54:I54"/>
    <mergeCell ref="A55:B65"/>
    <mergeCell ref="C55:I65"/>
    <mergeCell ref="A66:B72"/>
    <mergeCell ref="C66:I72"/>
    <mergeCell ref="A75:F75"/>
    <mergeCell ref="A76:F76"/>
    <mergeCell ref="A77:F77"/>
    <mergeCell ref="A51:I51"/>
    <mergeCell ref="A15:B25"/>
    <mergeCell ref="C15:I25"/>
    <mergeCell ref="A26:B32"/>
    <mergeCell ref="C26:I32"/>
    <mergeCell ref="A35:F35"/>
    <mergeCell ref="A36:F36"/>
    <mergeCell ref="A37:F37"/>
    <mergeCell ref="H38:H40"/>
    <mergeCell ref="I38:I40"/>
    <mergeCell ref="H41:I41"/>
    <mergeCell ref="A42:C42"/>
    <mergeCell ref="A14:B14"/>
    <mergeCell ref="C14:I14"/>
    <mergeCell ref="H1:I1"/>
    <mergeCell ref="A2:C2"/>
    <mergeCell ref="A11:I11"/>
    <mergeCell ref="A13:B13"/>
    <mergeCell ref="C13:I13"/>
  </mergeCells>
  <phoneticPr fontId="12"/>
  <printOptions horizontalCentered="1" verticalCentered="1"/>
  <pageMargins left="0.70866141732283472" right="0.70866141732283472" top="0.74803149606299213" bottom="0.74803149606299213" header="0.31496062992125984" footer="0.31496062992125984"/>
  <pageSetup paperSize="9" orientation="portrait" verticalDpi="1200" r:id="rId1"/>
  <rowBreaks count="1" manualBreakCount="1">
    <brk id="40"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29C67-FBBA-4075-8632-0B772250B25B}">
  <sheetPr codeName="Sheet12"/>
  <dimension ref="A1:XFB40"/>
  <sheetViews>
    <sheetView view="pageBreakPreview" topLeftCell="A4" zoomScaleNormal="100" workbookViewId="0">
      <selection activeCell="AJ6" sqref="AJ6"/>
    </sheetView>
  </sheetViews>
  <sheetFormatPr defaultColWidth="3.09765625" defaultRowHeight="18"/>
  <cols>
    <col min="1" max="1" width="3.296875" customWidth="1"/>
    <col min="3" max="13" width="3.09765625" style="293"/>
    <col min="14" max="14" width="3.19921875" style="293" customWidth="1"/>
    <col min="15" max="25" width="3.09765625" style="293"/>
    <col min="26" max="26" width="2.09765625" style="293" customWidth="1"/>
    <col min="27" max="28" width="3.09765625" style="293"/>
    <col min="29" max="29" width="3.09765625" style="293" customWidth="1"/>
    <col min="30" max="16382" width="3.09765625" style="293"/>
  </cols>
  <sheetData>
    <row r="1" spans="3:29">
      <c r="T1" s="622" t="s">
        <v>274</v>
      </c>
      <c r="U1" s="622"/>
      <c r="V1" s="294"/>
      <c r="W1" s="269" t="s">
        <v>275</v>
      </c>
      <c r="X1" s="294"/>
      <c r="Y1" s="269" t="s">
        <v>276</v>
      </c>
      <c r="Z1" s="294"/>
      <c r="AA1" s="269" t="s">
        <v>277</v>
      </c>
      <c r="AB1" s="269"/>
      <c r="AC1" s="269"/>
    </row>
    <row r="2" spans="3:29" ht="13.5" customHeight="1">
      <c r="C2" s="295"/>
      <c r="D2" s="295"/>
      <c r="E2" s="295"/>
      <c r="F2" s="295"/>
      <c r="G2" s="295"/>
      <c r="H2" s="295"/>
      <c r="I2" s="295"/>
      <c r="J2" s="295"/>
      <c r="K2" s="295"/>
      <c r="L2" s="295"/>
      <c r="M2" s="295"/>
      <c r="N2" s="295"/>
      <c r="O2" s="295"/>
      <c r="P2" s="295"/>
      <c r="Q2" s="295"/>
      <c r="R2" s="295"/>
      <c r="S2" s="295"/>
      <c r="T2" s="295"/>
      <c r="U2" s="295"/>
      <c r="V2" s="295"/>
      <c r="W2" s="295"/>
      <c r="X2" s="295"/>
      <c r="Y2" s="295"/>
      <c r="Z2" s="295"/>
      <c r="AA2" s="295"/>
      <c r="AB2" s="295"/>
      <c r="AC2" s="295"/>
    </row>
    <row r="3" spans="3:29" ht="13.5" customHeight="1">
      <c r="C3" s="623" t="s">
        <v>278</v>
      </c>
      <c r="D3" s="623"/>
      <c r="E3" s="623"/>
      <c r="F3" s="623"/>
      <c r="G3" s="623"/>
      <c r="H3" s="623"/>
      <c r="I3" s="623"/>
      <c r="J3" s="623"/>
      <c r="K3" s="623"/>
      <c r="L3" s="623"/>
      <c r="M3" s="623"/>
      <c r="N3" s="623"/>
      <c r="O3" s="623"/>
      <c r="P3" s="623"/>
      <c r="Q3" s="623"/>
      <c r="R3" s="623"/>
      <c r="S3" s="623"/>
      <c r="T3" s="623"/>
      <c r="U3" s="623"/>
      <c r="V3" s="623"/>
      <c r="W3" s="623"/>
      <c r="X3" s="623"/>
      <c r="Y3" s="623"/>
      <c r="Z3" s="623"/>
      <c r="AA3" s="623"/>
      <c r="AB3" s="296"/>
      <c r="AC3" s="296"/>
    </row>
    <row r="4" spans="3:29" ht="13.5" customHeight="1">
      <c r="C4" s="623"/>
      <c r="D4" s="623"/>
      <c r="E4" s="623"/>
      <c r="F4" s="623"/>
      <c r="G4" s="623"/>
      <c r="H4" s="623"/>
      <c r="I4" s="623"/>
      <c r="J4" s="623"/>
      <c r="K4" s="623"/>
      <c r="L4" s="623"/>
      <c r="M4" s="623"/>
      <c r="N4" s="623"/>
      <c r="O4" s="623"/>
      <c r="P4" s="623"/>
      <c r="Q4" s="623"/>
      <c r="R4" s="623"/>
      <c r="S4" s="623"/>
      <c r="T4" s="623"/>
      <c r="U4" s="623"/>
      <c r="V4" s="623"/>
      <c r="W4" s="623"/>
      <c r="X4" s="623"/>
      <c r="Y4" s="623"/>
      <c r="Z4" s="623"/>
      <c r="AA4" s="623"/>
      <c r="AB4" s="296"/>
      <c r="AC4" s="296"/>
    </row>
    <row r="5" spans="3:29" ht="28.8">
      <c r="C5" s="623"/>
      <c r="D5" s="623"/>
      <c r="E5" s="623"/>
      <c r="F5" s="623"/>
      <c r="G5" s="623"/>
      <c r="H5" s="623"/>
      <c r="I5" s="623"/>
      <c r="J5" s="623"/>
      <c r="K5" s="623"/>
      <c r="L5" s="623"/>
      <c r="M5" s="623"/>
      <c r="N5" s="623"/>
      <c r="O5" s="623"/>
      <c r="P5" s="623"/>
      <c r="Q5" s="623"/>
      <c r="R5" s="623"/>
      <c r="S5" s="623"/>
      <c r="T5" s="623"/>
      <c r="U5" s="623"/>
      <c r="V5" s="623"/>
      <c r="W5" s="623"/>
      <c r="X5" s="623"/>
      <c r="Y5" s="623"/>
      <c r="Z5" s="623"/>
      <c r="AA5" s="623"/>
      <c r="AB5" s="296"/>
      <c r="AC5" s="296"/>
    </row>
    <row r="6" spans="3:29">
      <c r="C6" s="624" t="s">
        <v>266</v>
      </c>
      <c r="D6" s="624"/>
      <c r="E6" s="624"/>
      <c r="F6" s="624"/>
      <c r="G6" s="624"/>
      <c r="H6" s="624"/>
      <c r="I6" s="624"/>
      <c r="J6" s="624"/>
      <c r="K6" s="624"/>
      <c r="L6" s="624"/>
      <c r="M6" s="624"/>
      <c r="N6" s="624"/>
    </row>
    <row r="7" spans="3:29">
      <c r="C7" s="624"/>
      <c r="D7" s="624"/>
      <c r="E7" s="624"/>
      <c r="F7" s="624"/>
      <c r="G7" s="624"/>
      <c r="H7" s="624"/>
      <c r="I7" s="624"/>
      <c r="J7" s="624"/>
      <c r="K7" s="624"/>
      <c r="L7" s="624"/>
      <c r="M7" s="624"/>
      <c r="N7" s="624"/>
      <c r="T7" s="628"/>
      <c r="U7" s="628"/>
      <c r="V7" s="628"/>
      <c r="W7" s="297"/>
      <c r="X7" s="297"/>
      <c r="Y7" s="297"/>
      <c r="Z7" s="297"/>
      <c r="AA7" s="297"/>
    </row>
    <row r="8" spans="3:29">
      <c r="C8" s="624"/>
      <c r="D8" s="624"/>
      <c r="E8" s="624"/>
      <c r="F8" s="624"/>
      <c r="G8" s="624"/>
      <c r="H8" s="624"/>
      <c r="I8" s="624"/>
      <c r="J8" s="624"/>
      <c r="K8" s="624"/>
      <c r="L8" s="624"/>
      <c r="M8" s="624"/>
      <c r="N8" s="624"/>
      <c r="S8" s="269"/>
      <c r="T8" s="622" t="str">
        <f>見積書!K4</f>
        <v>Renovation Shop りほむる</v>
      </c>
      <c r="U8" s="622"/>
      <c r="V8" s="622"/>
      <c r="W8" s="622"/>
      <c r="X8" s="622"/>
      <c r="Y8" s="622"/>
      <c r="Z8" s="622"/>
      <c r="AA8" s="622"/>
      <c r="AB8" s="298"/>
      <c r="AC8" s="298"/>
    </row>
    <row r="9" spans="3:29" ht="18" customHeight="1">
      <c r="C9" s="625" t="s">
        <v>279</v>
      </c>
      <c r="D9" s="625"/>
      <c r="E9" s="625"/>
      <c r="F9" s="625"/>
      <c r="G9" s="625"/>
      <c r="H9" s="625"/>
      <c r="I9" s="625"/>
      <c r="J9" s="625"/>
      <c r="K9" s="625"/>
      <c r="L9" s="625"/>
      <c r="M9" s="625"/>
      <c r="N9" s="625"/>
      <c r="O9" s="625"/>
      <c r="P9" s="625"/>
      <c r="Q9" s="625"/>
      <c r="R9" s="298"/>
      <c r="S9" s="626" t="str">
        <f>見積書!K5</f>
        <v>神奈川県知事 許可（般- 6）第 92760 号</v>
      </c>
      <c r="T9" s="626"/>
      <c r="U9" s="626"/>
      <c r="V9" s="626"/>
      <c r="W9" s="626"/>
      <c r="X9" s="626"/>
      <c r="Y9" s="626"/>
      <c r="Z9" s="626"/>
      <c r="AA9" s="626"/>
      <c r="AB9" s="626"/>
      <c r="AC9" s="299"/>
    </row>
    <row r="10" spans="3:29" ht="18" customHeight="1">
      <c r="C10" s="625" t="s">
        <v>280</v>
      </c>
      <c r="D10" s="625"/>
      <c r="E10" s="625"/>
      <c r="F10" s="625"/>
      <c r="G10" s="625"/>
      <c r="H10" s="625"/>
      <c r="I10" s="625"/>
      <c r="J10" s="625"/>
      <c r="K10" s="625"/>
      <c r="L10" s="625"/>
      <c r="M10" s="625"/>
      <c r="N10" s="625"/>
      <c r="O10" s="625"/>
      <c r="P10" s="625"/>
      <c r="Q10" s="625"/>
      <c r="R10" s="298"/>
      <c r="S10" s="626" t="str">
        <f>見積書!K7</f>
        <v>神奈川県川崎市多摩区南生田５－２－５１F２</v>
      </c>
      <c r="T10" s="626"/>
      <c r="U10" s="626"/>
      <c r="V10" s="626"/>
      <c r="W10" s="626"/>
      <c r="X10" s="626"/>
      <c r="Y10" s="626"/>
      <c r="Z10" s="626"/>
      <c r="AA10" s="626"/>
      <c r="AB10" s="626"/>
      <c r="AC10" s="299"/>
    </row>
    <row r="11" spans="3:29" ht="18" customHeight="1">
      <c r="C11" s="625" t="s">
        <v>281</v>
      </c>
      <c r="D11" s="625"/>
      <c r="E11" s="625"/>
      <c r="F11" s="625"/>
      <c r="G11" s="625"/>
      <c r="H11" s="625"/>
      <c r="I11" s="625"/>
      <c r="J11" s="625"/>
      <c r="K11" s="625"/>
      <c r="L11" s="625"/>
      <c r="M11" s="625"/>
      <c r="N11" s="625"/>
      <c r="O11" s="625"/>
      <c r="P11" s="625"/>
      <c r="Q11" s="625"/>
      <c r="R11" s="627"/>
      <c r="S11" s="627"/>
      <c r="T11" s="622" t="str">
        <f>見積書!K8</f>
        <v>TEL ０４４-４００-０５７０</v>
      </c>
      <c r="U11" s="622"/>
      <c r="V11" s="622"/>
      <c r="W11" s="622"/>
      <c r="X11" s="622"/>
      <c r="Y11" s="622"/>
      <c r="Z11" s="622"/>
      <c r="AA11" s="622"/>
      <c r="AB11" s="298"/>
      <c r="AC11" s="298"/>
    </row>
    <row r="12" spans="3:29" ht="18" customHeight="1">
      <c r="R12" s="627"/>
      <c r="S12" s="627"/>
      <c r="T12" s="633"/>
      <c r="U12" s="633"/>
      <c r="V12" s="633"/>
      <c r="W12" s="633"/>
      <c r="X12" s="633"/>
      <c r="Y12" s="633"/>
      <c r="Z12" s="633"/>
      <c r="AA12" s="633"/>
      <c r="AB12" s="298"/>
      <c r="AC12" s="298"/>
    </row>
    <row r="13" spans="3:29" ht="18" customHeight="1">
      <c r="C13" s="629" t="s">
        <v>282</v>
      </c>
      <c r="D13" s="629"/>
      <c r="E13" s="629"/>
      <c r="F13" s="629"/>
      <c r="G13" s="629"/>
      <c r="H13" s="630">
        <f>物件概要!C4</f>
        <v>0</v>
      </c>
      <c r="I13" s="630"/>
      <c r="J13" s="630"/>
      <c r="K13" s="630"/>
      <c r="L13" s="630"/>
      <c r="M13" s="630"/>
      <c r="N13" s="630"/>
      <c r="O13" s="630"/>
      <c r="P13" s="630"/>
      <c r="Q13" s="630"/>
      <c r="R13" s="631"/>
      <c r="S13" s="631"/>
      <c r="T13" s="632"/>
      <c r="U13" s="578"/>
      <c r="V13" s="578"/>
      <c r="W13" s="578"/>
      <c r="X13" s="578"/>
      <c r="Y13" s="578"/>
      <c r="Z13" s="578"/>
      <c r="AA13" s="578"/>
      <c r="AB13" s="270"/>
      <c r="AC13" s="270"/>
    </row>
    <row r="14" spans="3:29" ht="18" customHeight="1">
      <c r="C14" s="629" t="s">
        <v>283</v>
      </c>
      <c r="D14" s="629"/>
      <c r="E14" s="629"/>
      <c r="F14" s="629"/>
      <c r="G14" s="629"/>
      <c r="H14" s="630">
        <f>物件概要!C3</f>
        <v>0</v>
      </c>
      <c r="I14" s="630"/>
      <c r="J14" s="630"/>
      <c r="K14" s="630"/>
      <c r="L14" s="630"/>
      <c r="M14" s="630"/>
      <c r="N14" s="630"/>
      <c r="O14" s="630"/>
      <c r="P14" s="630"/>
      <c r="Q14" s="630"/>
      <c r="R14" s="627"/>
      <c r="S14" s="627"/>
      <c r="T14" s="633"/>
      <c r="U14" s="633"/>
      <c r="V14" s="633"/>
      <c r="W14" s="633"/>
      <c r="X14" s="633"/>
      <c r="Y14" s="633"/>
      <c r="Z14" s="633"/>
      <c r="AA14" s="633"/>
      <c r="AB14" s="298"/>
      <c r="AC14" s="298"/>
    </row>
    <row r="15" spans="3:29" ht="18" customHeight="1">
      <c r="C15" s="629" t="s">
        <v>284</v>
      </c>
      <c r="D15" s="629"/>
      <c r="E15" s="629"/>
      <c r="F15" s="629"/>
      <c r="G15" s="629"/>
      <c r="H15" s="634" t="s">
        <v>285</v>
      </c>
      <c r="I15" s="630"/>
      <c r="J15" s="630"/>
      <c r="K15" s="630"/>
      <c r="L15" s="630"/>
      <c r="M15" s="630"/>
      <c r="N15" s="630"/>
      <c r="O15" s="630"/>
      <c r="P15" s="630"/>
      <c r="Q15" s="630"/>
    </row>
    <row r="16" spans="3:29" ht="18" customHeight="1">
      <c r="C16" s="629" t="s">
        <v>286</v>
      </c>
      <c r="D16" s="629"/>
      <c r="E16" s="629"/>
      <c r="F16" s="629"/>
      <c r="G16" s="629"/>
      <c r="H16" s="630" t="s">
        <v>287</v>
      </c>
      <c r="I16" s="630"/>
      <c r="J16" s="630"/>
      <c r="K16" s="630"/>
      <c r="L16" s="630"/>
      <c r="M16" s="630"/>
      <c r="N16" s="630"/>
      <c r="O16" s="630"/>
      <c r="P16" s="630"/>
      <c r="Q16" s="630"/>
    </row>
    <row r="18" spans="3:29">
      <c r="C18" s="629" t="s">
        <v>288</v>
      </c>
      <c r="D18" s="629"/>
      <c r="E18" s="629"/>
      <c r="F18" s="629"/>
      <c r="G18" s="629"/>
      <c r="H18" s="300"/>
      <c r="I18" s="300"/>
      <c r="J18" s="300"/>
      <c r="K18" s="300"/>
      <c r="L18" s="300"/>
      <c r="M18" s="300"/>
      <c r="N18" s="300"/>
      <c r="O18" s="300"/>
      <c r="P18" s="300"/>
      <c r="Q18" s="300"/>
      <c r="R18" s="300"/>
      <c r="S18" s="300"/>
      <c r="T18" s="300"/>
      <c r="U18" s="300"/>
      <c r="V18" s="300"/>
      <c r="W18" s="300"/>
      <c r="X18" s="300"/>
      <c r="Y18" s="300"/>
      <c r="Z18" s="300"/>
      <c r="AA18" s="300"/>
      <c r="AB18" s="300"/>
      <c r="AC18" s="300"/>
    </row>
    <row r="19" spans="3:29">
      <c r="C19" s="630" t="s">
        <v>289</v>
      </c>
      <c r="D19" s="630"/>
      <c r="E19" s="630"/>
      <c r="F19" s="630"/>
      <c r="G19" s="630"/>
      <c r="H19" s="630"/>
      <c r="I19" s="630"/>
      <c r="J19" s="630"/>
      <c r="K19" s="630"/>
      <c r="L19" s="630"/>
      <c r="M19" s="630"/>
      <c r="N19" s="630"/>
      <c r="O19" s="630"/>
      <c r="P19" s="630"/>
      <c r="Q19" s="630"/>
      <c r="R19" s="630"/>
      <c r="S19" s="630"/>
      <c r="T19" s="630"/>
      <c r="U19" s="630"/>
      <c r="V19" s="630"/>
      <c r="W19" s="630"/>
      <c r="X19" s="630"/>
      <c r="Y19" s="630"/>
      <c r="Z19" s="630"/>
      <c r="AA19" s="630"/>
      <c r="AB19" s="300"/>
      <c r="AC19" s="300"/>
    </row>
    <row r="20" spans="3:29">
      <c r="C20" s="630" t="s">
        <v>290</v>
      </c>
      <c r="D20" s="630"/>
      <c r="E20" s="630"/>
      <c r="F20" s="630"/>
      <c r="G20" s="630"/>
      <c r="H20" s="630"/>
      <c r="I20" s="630"/>
      <c r="J20" s="630"/>
      <c r="K20" s="630"/>
      <c r="L20" s="630"/>
      <c r="M20" s="630"/>
      <c r="N20" s="630"/>
      <c r="O20" s="630"/>
      <c r="P20" s="630"/>
      <c r="Q20" s="630"/>
      <c r="R20" s="630"/>
      <c r="S20" s="630"/>
      <c r="T20" s="630"/>
      <c r="U20" s="630"/>
      <c r="V20" s="630"/>
      <c r="W20" s="630"/>
      <c r="X20" s="630"/>
      <c r="Y20" s="630"/>
      <c r="Z20" s="630"/>
      <c r="AA20" s="630"/>
      <c r="AB20" s="300"/>
      <c r="AC20" s="300"/>
    </row>
    <row r="21" spans="3:29">
      <c r="C21" s="630" t="s">
        <v>291</v>
      </c>
      <c r="D21" s="630"/>
      <c r="E21" s="630"/>
      <c r="F21" s="630"/>
      <c r="G21" s="630"/>
      <c r="H21" s="630"/>
      <c r="I21" s="630"/>
      <c r="J21" s="630"/>
      <c r="K21" s="630"/>
      <c r="L21" s="630"/>
      <c r="M21" s="630"/>
      <c r="N21" s="630"/>
      <c r="O21" s="630"/>
      <c r="P21" s="630"/>
      <c r="Q21" s="630"/>
      <c r="R21" s="630"/>
      <c r="S21" s="630"/>
      <c r="T21" s="630"/>
      <c r="U21" s="630"/>
      <c r="V21" s="630"/>
      <c r="W21" s="630"/>
      <c r="X21" s="630"/>
      <c r="Y21" s="630"/>
      <c r="Z21" s="630"/>
      <c r="AA21" s="630"/>
      <c r="AB21" s="300"/>
      <c r="AC21" s="300"/>
    </row>
    <row r="22" spans="3:29">
      <c r="C22" s="630" t="s">
        <v>292</v>
      </c>
      <c r="D22" s="630"/>
      <c r="E22" s="630"/>
      <c r="F22" s="630"/>
      <c r="G22" s="630"/>
      <c r="H22" s="630"/>
      <c r="I22" s="630"/>
      <c r="J22" s="630"/>
      <c r="K22" s="630"/>
      <c r="L22" s="630"/>
      <c r="M22" s="630"/>
      <c r="N22" s="630"/>
      <c r="O22" s="630"/>
      <c r="P22" s="630"/>
      <c r="Q22" s="630"/>
      <c r="R22" s="630"/>
      <c r="S22" s="630"/>
      <c r="T22" s="630"/>
      <c r="U22" s="630"/>
      <c r="V22" s="630"/>
      <c r="W22" s="630"/>
      <c r="X22" s="630"/>
      <c r="Y22" s="630"/>
      <c r="Z22" s="630"/>
      <c r="AA22" s="630"/>
      <c r="AB22" s="300"/>
      <c r="AC22" s="300"/>
    </row>
    <row r="23" spans="3:29">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row>
    <row r="24" spans="3:29">
      <c r="C24" s="630" t="s">
        <v>293</v>
      </c>
      <c r="D24" s="630"/>
      <c r="E24" s="630"/>
      <c r="F24" s="630"/>
      <c r="G24" s="630"/>
      <c r="H24" s="300"/>
      <c r="I24" s="300"/>
      <c r="J24" s="300"/>
      <c r="K24" s="300"/>
      <c r="L24" s="300"/>
      <c r="M24" s="300"/>
      <c r="N24" s="300"/>
      <c r="O24" s="300"/>
      <c r="P24" s="300"/>
      <c r="Q24" s="300"/>
      <c r="R24" s="300"/>
      <c r="S24" s="300"/>
      <c r="T24" s="300"/>
      <c r="U24" s="300"/>
      <c r="V24" s="300"/>
      <c r="W24" s="300"/>
      <c r="X24" s="300"/>
      <c r="Y24" s="300"/>
      <c r="Z24" s="300"/>
      <c r="AA24" s="300"/>
      <c r="AB24" s="300"/>
      <c r="AC24" s="300"/>
    </row>
    <row r="25" spans="3:29">
      <c r="C25" s="630" t="s">
        <v>294</v>
      </c>
      <c r="D25" s="630"/>
      <c r="E25" s="630"/>
      <c r="F25" s="630"/>
      <c r="G25" s="630"/>
      <c r="H25" s="630"/>
      <c r="I25" s="630"/>
      <c r="J25" s="630"/>
      <c r="K25" s="630"/>
      <c r="L25" s="630"/>
      <c r="M25" s="630"/>
      <c r="N25" s="630"/>
      <c r="O25" s="630"/>
      <c r="P25" s="630"/>
      <c r="Q25" s="630"/>
      <c r="R25" s="630"/>
      <c r="S25" s="630"/>
      <c r="T25" s="630"/>
      <c r="U25" s="630"/>
      <c r="V25" s="630"/>
      <c r="W25" s="630"/>
      <c r="X25" s="630"/>
      <c r="Y25" s="630"/>
      <c r="Z25" s="630"/>
      <c r="AA25" s="630"/>
      <c r="AB25" s="300"/>
      <c r="AC25" s="300"/>
    </row>
    <row r="26" spans="3:29">
      <c r="C26" s="630" t="s">
        <v>295</v>
      </c>
      <c r="D26" s="630"/>
      <c r="E26" s="630"/>
      <c r="F26" s="630"/>
      <c r="G26" s="630"/>
      <c r="H26" s="630"/>
      <c r="I26" s="630"/>
      <c r="J26" s="630"/>
      <c r="K26" s="630"/>
      <c r="L26" s="630"/>
      <c r="M26" s="630"/>
      <c r="N26" s="630"/>
      <c r="O26" s="630"/>
      <c r="P26" s="630"/>
      <c r="Q26" s="630"/>
      <c r="R26" s="630"/>
      <c r="S26" s="630"/>
      <c r="T26" s="630"/>
      <c r="U26" s="630"/>
      <c r="V26" s="630"/>
      <c r="W26" s="630"/>
      <c r="X26" s="630"/>
      <c r="Y26" s="630"/>
      <c r="Z26" s="630"/>
      <c r="AA26" s="630"/>
      <c r="AB26" s="300"/>
      <c r="AC26" s="300"/>
    </row>
    <row r="27" spans="3:29">
      <c r="C27" s="630" t="s">
        <v>296</v>
      </c>
      <c r="D27" s="630"/>
      <c r="E27" s="630"/>
      <c r="F27" s="630"/>
      <c r="G27" s="630"/>
      <c r="H27" s="630"/>
      <c r="I27" s="630"/>
      <c r="J27" s="630"/>
      <c r="K27" s="630"/>
      <c r="L27" s="630"/>
      <c r="M27" s="630"/>
      <c r="N27" s="630"/>
      <c r="O27" s="630"/>
      <c r="P27" s="630"/>
      <c r="Q27" s="630"/>
      <c r="R27" s="630"/>
      <c r="S27" s="630"/>
      <c r="T27" s="630"/>
      <c r="U27" s="630"/>
      <c r="V27" s="630"/>
      <c r="W27" s="630"/>
      <c r="X27" s="630"/>
      <c r="Y27" s="630"/>
      <c r="Z27" s="630"/>
      <c r="AA27" s="630"/>
      <c r="AB27" s="300"/>
      <c r="AC27" s="300"/>
    </row>
    <row r="28" spans="3:29">
      <c r="C28" s="630" t="s">
        <v>297</v>
      </c>
      <c r="D28" s="630"/>
      <c r="E28" s="630"/>
      <c r="F28" s="630"/>
      <c r="G28" s="630"/>
      <c r="H28" s="630"/>
      <c r="I28" s="630"/>
      <c r="J28" s="630"/>
      <c r="K28" s="630"/>
      <c r="L28" s="630"/>
      <c r="M28" s="630"/>
      <c r="N28" s="630"/>
      <c r="O28" s="630"/>
      <c r="P28" s="630"/>
      <c r="Q28" s="630"/>
      <c r="R28" s="630"/>
      <c r="S28" s="630"/>
      <c r="T28" s="630"/>
      <c r="U28" s="630"/>
      <c r="V28" s="630"/>
      <c r="W28" s="630"/>
      <c r="X28" s="630"/>
      <c r="Y28" s="630"/>
      <c r="Z28" s="630"/>
      <c r="AA28" s="630"/>
      <c r="AB28" s="300"/>
      <c r="AC28" s="300"/>
    </row>
    <row r="29" spans="3:29">
      <c r="C29" s="629" t="s">
        <v>298</v>
      </c>
      <c r="D29" s="629"/>
      <c r="E29" s="629"/>
      <c r="F29" s="629"/>
      <c r="G29" s="629"/>
    </row>
    <row r="30" spans="3:29" ht="18.75" customHeight="1">
      <c r="C30" s="635" t="s">
        <v>299</v>
      </c>
      <c r="D30" s="635"/>
      <c r="E30" s="635"/>
      <c r="F30" s="635"/>
      <c r="G30" s="635"/>
      <c r="H30" s="635"/>
      <c r="I30" s="635"/>
      <c r="J30" s="636" t="s">
        <v>300</v>
      </c>
      <c r="K30" s="636"/>
      <c r="L30" s="636"/>
      <c r="M30" s="636"/>
      <c r="N30" s="636"/>
      <c r="O30" s="636"/>
      <c r="P30" s="636"/>
      <c r="Q30" s="636"/>
      <c r="R30" s="635" t="s">
        <v>301</v>
      </c>
      <c r="S30" s="635"/>
      <c r="T30" s="635"/>
      <c r="U30" s="635"/>
      <c r="V30" s="635"/>
      <c r="W30" s="635"/>
      <c r="X30" s="635" t="s">
        <v>302</v>
      </c>
      <c r="Y30" s="635"/>
      <c r="Z30" s="635"/>
      <c r="AA30" s="635"/>
      <c r="AB30" s="301"/>
      <c r="AC30" s="301"/>
    </row>
    <row r="31" spans="3:29" ht="18" customHeight="1">
      <c r="C31" s="637"/>
      <c r="D31" s="637"/>
      <c r="E31" s="637"/>
      <c r="F31" s="637"/>
      <c r="G31" s="637"/>
      <c r="H31" s="637"/>
      <c r="I31" s="638"/>
      <c r="J31" s="639"/>
      <c r="K31" s="640"/>
      <c r="L31" s="640"/>
      <c r="M31" s="640"/>
      <c r="N31" s="640"/>
      <c r="O31" s="640"/>
      <c r="P31" s="640"/>
      <c r="Q31" s="640"/>
      <c r="R31" s="641"/>
      <c r="S31" s="637"/>
      <c r="T31" s="637"/>
      <c r="U31" s="637"/>
      <c r="V31" s="637"/>
      <c r="W31" s="637"/>
      <c r="X31" s="642"/>
      <c r="Y31" s="642"/>
      <c r="Z31" s="642"/>
      <c r="AA31" s="642"/>
      <c r="AB31" s="302"/>
      <c r="AC31" s="302"/>
    </row>
    <row r="32" spans="3:29">
      <c r="C32" s="637"/>
      <c r="D32" s="637"/>
      <c r="E32" s="637"/>
      <c r="F32" s="637"/>
      <c r="G32" s="637"/>
      <c r="H32" s="637"/>
      <c r="I32" s="638"/>
      <c r="J32" s="643"/>
      <c r="K32" s="644"/>
      <c r="L32" s="644"/>
      <c r="M32" s="644"/>
      <c r="N32" s="644"/>
      <c r="O32" s="644"/>
      <c r="P32" s="644"/>
      <c r="Q32" s="644"/>
      <c r="R32" s="641"/>
      <c r="S32" s="637"/>
      <c r="T32" s="637"/>
      <c r="U32" s="637"/>
      <c r="V32" s="637"/>
      <c r="W32" s="637"/>
      <c r="X32" s="642"/>
      <c r="Y32" s="642"/>
      <c r="Z32" s="642"/>
      <c r="AA32" s="642"/>
      <c r="AB32" s="302"/>
      <c r="AC32" s="302"/>
    </row>
    <row r="33" spans="1:29">
      <c r="C33" s="637"/>
      <c r="D33" s="637"/>
      <c r="E33" s="637"/>
      <c r="F33" s="637"/>
      <c r="G33" s="637"/>
      <c r="H33" s="637"/>
      <c r="I33" s="638"/>
      <c r="J33" s="639"/>
      <c r="K33" s="640"/>
      <c r="L33" s="640"/>
      <c r="M33" s="640"/>
      <c r="N33" s="640"/>
      <c r="O33" s="640"/>
      <c r="P33" s="640"/>
      <c r="Q33" s="640"/>
      <c r="R33" s="641"/>
      <c r="S33" s="637"/>
      <c r="T33" s="637"/>
      <c r="U33" s="637"/>
      <c r="V33" s="637"/>
      <c r="W33" s="637"/>
      <c r="X33" s="642"/>
      <c r="Y33" s="642"/>
      <c r="Z33" s="642"/>
      <c r="AA33" s="642"/>
      <c r="AB33" s="302"/>
      <c r="AC33" s="302"/>
    </row>
    <row r="34" spans="1:29">
      <c r="C34" s="637"/>
      <c r="D34" s="637"/>
      <c r="E34" s="637"/>
      <c r="F34" s="637"/>
      <c r="G34" s="637"/>
      <c r="H34" s="637"/>
      <c r="I34" s="638"/>
      <c r="J34" s="643"/>
      <c r="K34" s="644"/>
      <c r="L34" s="644"/>
      <c r="M34" s="644"/>
      <c r="N34" s="644"/>
      <c r="O34" s="644"/>
      <c r="P34" s="644"/>
      <c r="Q34" s="644"/>
      <c r="R34" s="641"/>
      <c r="S34" s="637"/>
      <c r="T34" s="637"/>
      <c r="U34" s="637"/>
      <c r="V34" s="637"/>
      <c r="W34" s="637"/>
      <c r="X34" s="642"/>
      <c r="Y34" s="642"/>
      <c r="Z34" s="642"/>
      <c r="AA34" s="642"/>
      <c r="AB34" s="302"/>
      <c r="AC34" s="302"/>
    </row>
    <row r="35" spans="1:29">
      <c r="C35" s="637"/>
      <c r="D35" s="637"/>
      <c r="E35" s="637"/>
      <c r="F35" s="637"/>
      <c r="G35" s="637"/>
      <c r="H35" s="637"/>
      <c r="I35" s="638"/>
      <c r="J35" s="639"/>
      <c r="K35" s="640"/>
      <c r="L35" s="640"/>
      <c r="M35" s="640"/>
      <c r="N35" s="640"/>
      <c r="O35" s="640"/>
      <c r="P35" s="640"/>
      <c r="Q35" s="640"/>
      <c r="R35" s="641"/>
      <c r="S35" s="637"/>
      <c r="T35" s="637"/>
      <c r="U35" s="637"/>
      <c r="V35" s="637"/>
      <c r="W35" s="637"/>
      <c r="X35" s="642"/>
      <c r="Y35" s="642"/>
      <c r="Z35" s="642"/>
      <c r="AA35" s="642"/>
      <c r="AB35" s="302"/>
      <c r="AC35" s="302"/>
    </row>
    <row r="36" spans="1:29">
      <c r="C36" s="637"/>
      <c r="D36" s="637"/>
      <c r="E36" s="637"/>
      <c r="F36" s="637"/>
      <c r="G36" s="637"/>
      <c r="H36" s="637"/>
      <c r="I36" s="638"/>
      <c r="J36" s="643"/>
      <c r="K36" s="644"/>
      <c r="L36" s="644"/>
      <c r="M36" s="644"/>
      <c r="N36" s="644"/>
      <c r="O36" s="644"/>
      <c r="P36" s="644"/>
      <c r="Q36" s="644"/>
      <c r="R36" s="641"/>
      <c r="S36" s="637"/>
      <c r="T36" s="637"/>
      <c r="U36" s="637"/>
      <c r="V36" s="637"/>
      <c r="W36" s="637"/>
      <c r="X36" s="642"/>
      <c r="Y36" s="642"/>
      <c r="Z36" s="642"/>
      <c r="AA36" s="642"/>
      <c r="AB36" s="302"/>
      <c r="AC36" s="302"/>
    </row>
    <row r="37" spans="1:29">
      <c r="C37" s="637"/>
      <c r="D37" s="637"/>
      <c r="E37" s="637"/>
      <c r="F37" s="637"/>
      <c r="G37" s="637"/>
      <c r="H37" s="637"/>
      <c r="I37" s="638"/>
      <c r="J37" s="639"/>
      <c r="K37" s="640"/>
      <c r="L37" s="640"/>
      <c r="M37" s="640"/>
      <c r="N37" s="640"/>
      <c r="O37" s="640"/>
      <c r="P37" s="640"/>
      <c r="Q37" s="640"/>
      <c r="R37" s="641"/>
      <c r="S37" s="637"/>
      <c r="T37" s="637"/>
      <c r="U37" s="637"/>
      <c r="V37" s="637"/>
      <c r="W37" s="637"/>
      <c r="X37" s="642"/>
      <c r="Y37" s="642"/>
      <c r="Z37" s="642"/>
      <c r="AA37" s="642"/>
      <c r="AB37" s="302"/>
      <c r="AC37" s="302"/>
    </row>
    <row r="38" spans="1:29">
      <c r="C38" s="637"/>
      <c r="D38" s="637"/>
      <c r="E38" s="637"/>
      <c r="F38" s="637"/>
      <c r="G38" s="637"/>
      <c r="H38" s="637"/>
      <c r="I38" s="638"/>
      <c r="J38" s="643"/>
      <c r="K38" s="644"/>
      <c r="L38" s="644"/>
      <c r="M38" s="644"/>
      <c r="N38" s="644"/>
      <c r="O38" s="644"/>
      <c r="P38" s="644"/>
      <c r="Q38" s="644"/>
      <c r="R38" s="641"/>
      <c r="S38" s="637"/>
      <c r="T38" s="637"/>
      <c r="U38" s="637"/>
      <c r="V38" s="637"/>
      <c r="W38" s="637"/>
      <c r="X38" s="642"/>
      <c r="Y38" s="642"/>
      <c r="Z38" s="642"/>
      <c r="AA38" s="642"/>
      <c r="AB38" s="302"/>
      <c r="AC38" s="302"/>
    </row>
    <row r="39" spans="1:29" ht="62.1" customHeight="1">
      <c r="A39" s="645"/>
      <c r="B39" s="645"/>
      <c r="C39" s="645"/>
      <c r="D39" s="645"/>
      <c r="E39" s="645"/>
      <c r="F39" s="645"/>
      <c r="G39" s="645"/>
      <c r="H39" s="645"/>
      <c r="I39" s="645"/>
      <c r="J39" s="645"/>
      <c r="K39" s="645"/>
      <c r="L39" s="645"/>
      <c r="M39" s="645"/>
      <c r="N39" s="645"/>
      <c r="O39" s="645"/>
      <c r="P39" s="645"/>
      <c r="Q39" s="645"/>
      <c r="R39" s="645"/>
      <c r="S39" s="645"/>
      <c r="T39" s="645"/>
      <c r="U39" s="645"/>
      <c r="V39" s="645"/>
      <c r="W39" s="645"/>
      <c r="X39" s="645"/>
      <c r="Y39" s="645"/>
      <c r="Z39" s="645"/>
      <c r="AA39" s="645"/>
      <c r="AB39" s="303"/>
      <c r="AC39" s="303"/>
    </row>
    <row r="40" spans="1:29" ht="63" customHeight="1">
      <c r="AC40" s="303"/>
    </row>
  </sheetData>
  <sheetProtection sheet="1" objects="1" scenarios="1"/>
  <mergeCells count="62">
    <mergeCell ref="A39:AA39"/>
    <mergeCell ref="C35:I36"/>
    <mergeCell ref="J35:Q35"/>
    <mergeCell ref="R35:W36"/>
    <mergeCell ref="X35:AA36"/>
    <mergeCell ref="J36:Q36"/>
    <mergeCell ref="C37:I38"/>
    <mergeCell ref="J37:Q37"/>
    <mergeCell ref="R37:W38"/>
    <mergeCell ref="X37:AA38"/>
    <mergeCell ref="J38:Q38"/>
    <mergeCell ref="C31:I32"/>
    <mergeCell ref="J31:Q31"/>
    <mergeCell ref="R31:W32"/>
    <mergeCell ref="X31:AA32"/>
    <mergeCell ref="J32:Q32"/>
    <mergeCell ref="C33:I34"/>
    <mergeCell ref="J33:Q33"/>
    <mergeCell ref="R33:W34"/>
    <mergeCell ref="X33:AA34"/>
    <mergeCell ref="J34:Q34"/>
    <mergeCell ref="C27:AA27"/>
    <mergeCell ref="C28:AA28"/>
    <mergeCell ref="C29:G29"/>
    <mergeCell ref="C30:I30"/>
    <mergeCell ref="J30:Q30"/>
    <mergeCell ref="R30:W30"/>
    <mergeCell ref="X30:AA30"/>
    <mergeCell ref="C14:G14"/>
    <mergeCell ref="H14:Q14"/>
    <mergeCell ref="R14:S14"/>
    <mergeCell ref="T14:AA14"/>
    <mergeCell ref="C26:AA26"/>
    <mergeCell ref="C15:G15"/>
    <mergeCell ref="H15:Q15"/>
    <mergeCell ref="C16:G16"/>
    <mergeCell ref="H16:Q16"/>
    <mergeCell ref="C18:G18"/>
    <mergeCell ref="C19:AA19"/>
    <mergeCell ref="C20:AA20"/>
    <mergeCell ref="C21:AA21"/>
    <mergeCell ref="C22:AA22"/>
    <mergeCell ref="C24:G24"/>
    <mergeCell ref="C25:AA25"/>
    <mergeCell ref="C11:Q11"/>
    <mergeCell ref="R11:S11"/>
    <mergeCell ref="T11:AA11"/>
    <mergeCell ref="T7:V7"/>
    <mergeCell ref="C13:G13"/>
    <mergeCell ref="H13:Q13"/>
    <mergeCell ref="R13:S13"/>
    <mergeCell ref="T13:AA13"/>
    <mergeCell ref="R12:S12"/>
    <mergeCell ref="T12:AA12"/>
    <mergeCell ref="T1:U1"/>
    <mergeCell ref="C3:AA5"/>
    <mergeCell ref="C6:N8"/>
    <mergeCell ref="C9:Q9"/>
    <mergeCell ref="C10:Q10"/>
    <mergeCell ref="S10:AB10"/>
    <mergeCell ref="S9:AB9"/>
    <mergeCell ref="T8:AA8"/>
  </mergeCells>
  <phoneticPr fontId="12"/>
  <hyperlinks>
    <hyperlink ref="T13" r:id="rId1" tooltip="mailto:info@sagami-life.com" display="mailto:info@sagami-life.com" xr:uid="{1B162832-0E24-4537-87B8-C3D9438AC5CF}"/>
  </hyperlinks>
  <printOptions horizontalCentered="1" verticalCentered="1"/>
  <pageMargins left="0.23622047244094491" right="0.23622047244094491" top="0.74803149606299213" bottom="0.31496062992125984" header="0.31496062992125984" footer="0.31496062992125984"/>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E05AB-9C07-4F77-9037-12EB4E459D9A}">
  <sheetPr codeName="Sheet13"/>
  <dimension ref="A1:F47"/>
  <sheetViews>
    <sheetView showGridLines="0" tabSelected="1" view="pageBreakPreview" topLeftCell="A4" zoomScaleNormal="100" workbookViewId="0">
      <selection activeCell="H12" sqref="H12"/>
    </sheetView>
  </sheetViews>
  <sheetFormatPr defaultColWidth="8.59765625" defaultRowHeight="18"/>
  <cols>
    <col min="1" max="1" width="11.296875" customWidth="1"/>
    <col min="2" max="2" width="42.09765625" customWidth="1"/>
    <col min="3" max="3" width="5.09765625" customWidth="1"/>
    <col min="4" max="4" width="17.296875" customWidth="1"/>
    <col min="5" max="5" width="10.796875" customWidth="1"/>
    <col min="6" max="6" width="21.69921875" customWidth="1"/>
  </cols>
  <sheetData>
    <row r="1" spans="1:6" ht="39">
      <c r="A1" s="350" t="s">
        <v>303</v>
      </c>
      <c r="B1" s="350"/>
      <c r="C1" s="350"/>
      <c r="D1" s="350"/>
      <c r="E1" s="350"/>
      <c r="F1" s="350"/>
    </row>
    <row r="2" spans="1:6">
      <c r="A2" s="304"/>
      <c r="B2" s="304"/>
      <c r="C2" s="304"/>
      <c r="D2" s="304"/>
      <c r="E2" s="305"/>
      <c r="F2" s="306"/>
    </row>
    <row r="3" spans="1:6" ht="19.8">
      <c r="A3" s="307"/>
      <c r="B3" s="304"/>
      <c r="C3" s="308"/>
      <c r="D3" s="304"/>
      <c r="E3" s="309" t="s">
        <v>304</v>
      </c>
      <c r="F3" s="310">
        <f ca="1">TODAY()</f>
        <v>46224</v>
      </c>
    </row>
    <row r="4" spans="1:6" ht="27" thickBot="1">
      <c r="A4" s="351">
        <f>物件概要!C1</f>
        <v>0</v>
      </c>
      <c r="B4" s="351"/>
      <c r="C4" s="304"/>
      <c r="D4" s="304"/>
      <c r="E4" s="304"/>
      <c r="F4" s="304"/>
    </row>
    <row r="5" spans="1:6" ht="18.600000000000001" thickTop="1">
      <c r="A5" s="311"/>
      <c r="B5" s="312"/>
      <c r="C5" s="311"/>
      <c r="D5" s="311"/>
      <c r="E5" s="311" t="s">
        <v>2</v>
      </c>
      <c r="F5" s="311"/>
    </row>
    <row r="6" spans="1:6">
      <c r="A6" s="311"/>
      <c r="B6" s="313"/>
      <c r="C6" s="311"/>
      <c r="D6" s="311"/>
      <c r="E6" s="349" t="s">
        <v>305</v>
      </c>
      <c r="F6" s="349"/>
    </row>
    <row r="7" spans="1:6">
      <c r="A7" s="311"/>
      <c r="B7" s="313"/>
      <c r="C7" s="311"/>
      <c r="D7" s="311"/>
      <c r="E7" s="352" t="str">
        <f>見積書!K7</f>
        <v>神奈川県川崎市多摩区南生田５－２－５１F２</v>
      </c>
      <c r="F7" s="352"/>
    </row>
    <row r="8" spans="1:6">
      <c r="A8" s="315"/>
      <c r="B8" s="313"/>
      <c r="C8" s="304"/>
      <c r="D8" s="304"/>
      <c r="E8" s="349" t="s">
        <v>6</v>
      </c>
      <c r="F8" s="349"/>
    </row>
    <row r="9" spans="1:6">
      <c r="A9" s="315"/>
      <c r="B9" s="313"/>
      <c r="C9" s="304"/>
      <c r="D9" s="304"/>
      <c r="E9" s="349" t="s">
        <v>321</v>
      </c>
      <c r="F9" s="349"/>
    </row>
    <row r="10" spans="1:6">
      <c r="A10" s="313"/>
      <c r="B10" s="304"/>
      <c r="C10" s="304"/>
      <c r="D10" s="304"/>
      <c r="E10" s="349" t="s">
        <v>322</v>
      </c>
      <c r="F10" s="349"/>
    </row>
    <row r="11" spans="1:6" ht="18.600000000000001" thickBot="1">
      <c r="A11" s="316" t="s">
        <v>306</v>
      </c>
      <c r="B11" s="304"/>
      <c r="C11" s="304"/>
      <c r="D11" s="304"/>
      <c r="E11" s="317"/>
      <c r="F11" s="317"/>
    </row>
    <row r="12" spans="1:6" ht="27" thickBot="1">
      <c r="A12" s="318" t="s">
        <v>307</v>
      </c>
      <c r="B12" s="319">
        <f>F40</f>
        <v>0</v>
      </c>
      <c r="C12" s="304"/>
      <c r="D12" s="304"/>
      <c r="E12" s="307"/>
      <c r="F12" s="304"/>
    </row>
    <row r="13" spans="1:6">
      <c r="A13" s="304"/>
      <c r="B13" s="304"/>
      <c r="C13" s="304"/>
      <c r="D13" s="304"/>
      <c r="E13" s="314"/>
      <c r="F13" s="304"/>
    </row>
    <row r="14" spans="1:6">
      <c r="A14" s="355" t="s">
        <v>308</v>
      </c>
      <c r="B14" s="356"/>
      <c r="C14" s="321" t="s">
        <v>15</v>
      </c>
      <c r="D14" s="321" t="s">
        <v>16</v>
      </c>
      <c r="E14" s="321" t="s">
        <v>14</v>
      </c>
      <c r="F14" s="320" t="s">
        <v>309</v>
      </c>
    </row>
    <row r="15" spans="1:6">
      <c r="A15" s="353"/>
      <c r="B15" s="354"/>
      <c r="C15" s="322" t="s">
        <v>310</v>
      </c>
      <c r="D15" s="322"/>
      <c r="E15" s="323"/>
      <c r="F15" s="324">
        <f t="shared" ref="F15:F22" si="0">D15*E15</f>
        <v>0</v>
      </c>
    </row>
    <row r="16" spans="1:6">
      <c r="A16" s="353"/>
      <c r="B16" s="354"/>
      <c r="C16" s="322"/>
      <c r="D16" s="322"/>
      <c r="E16" s="323"/>
      <c r="F16" s="324">
        <f t="shared" si="0"/>
        <v>0</v>
      </c>
    </row>
    <row r="17" spans="1:6">
      <c r="A17" s="353"/>
      <c r="B17" s="354"/>
      <c r="C17" s="322"/>
      <c r="D17" s="322"/>
      <c r="E17" s="323"/>
      <c r="F17" s="324">
        <f t="shared" si="0"/>
        <v>0</v>
      </c>
    </row>
    <row r="18" spans="1:6">
      <c r="A18" s="353"/>
      <c r="B18" s="354"/>
      <c r="C18" s="322"/>
      <c r="D18" s="322"/>
      <c r="E18" s="323"/>
      <c r="F18" s="324">
        <f t="shared" si="0"/>
        <v>0</v>
      </c>
    </row>
    <row r="19" spans="1:6">
      <c r="A19" s="353"/>
      <c r="B19" s="354"/>
      <c r="C19" s="322"/>
      <c r="D19" s="322"/>
      <c r="E19" s="323"/>
      <c r="F19" s="324">
        <f t="shared" si="0"/>
        <v>0</v>
      </c>
    </row>
    <row r="20" spans="1:6">
      <c r="A20" s="353"/>
      <c r="B20" s="354"/>
      <c r="C20" s="322"/>
      <c r="D20" s="322"/>
      <c r="E20" s="323"/>
      <c r="F20" s="324">
        <f t="shared" si="0"/>
        <v>0</v>
      </c>
    </row>
    <row r="21" spans="1:6">
      <c r="A21" s="353"/>
      <c r="B21" s="354"/>
      <c r="C21" s="322"/>
      <c r="D21" s="322"/>
      <c r="E21" s="323"/>
      <c r="F21" s="324">
        <f t="shared" si="0"/>
        <v>0</v>
      </c>
    </row>
    <row r="22" spans="1:6">
      <c r="A22" s="353"/>
      <c r="B22" s="354"/>
      <c r="C22" s="322"/>
      <c r="D22" s="322"/>
      <c r="E22" s="323"/>
      <c r="F22" s="324">
        <f t="shared" si="0"/>
        <v>0</v>
      </c>
    </row>
    <row r="23" spans="1:6">
      <c r="A23" s="353"/>
      <c r="B23" s="354"/>
      <c r="C23" s="322"/>
      <c r="D23" s="322"/>
      <c r="E23" s="323"/>
      <c r="F23" s="324">
        <f t="shared" ref="F23:F27" si="1">ROUND(D23*E23,0)</f>
        <v>0</v>
      </c>
    </row>
    <row r="24" spans="1:6">
      <c r="A24" s="353"/>
      <c r="B24" s="354"/>
      <c r="C24" s="322"/>
      <c r="D24" s="322"/>
      <c r="E24" s="323"/>
      <c r="F24" s="324">
        <f t="shared" si="1"/>
        <v>0</v>
      </c>
    </row>
    <row r="25" spans="1:6">
      <c r="A25" s="353"/>
      <c r="B25" s="354"/>
      <c r="C25" s="322"/>
      <c r="D25" s="322"/>
      <c r="E25" s="323"/>
      <c r="F25" s="324">
        <f t="shared" si="1"/>
        <v>0</v>
      </c>
    </row>
    <row r="26" spans="1:6">
      <c r="A26" s="353"/>
      <c r="B26" s="354"/>
      <c r="C26" s="322"/>
      <c r="D26" s="322"/>
      <c r="E26" s="323"/>
      <c r="F26" s="324">
        <f t="shared" si="1"/>
        <v>0</v>
      </c>
    </row>
    <row r="27" spans="1:6">
      <c r="A27" s="353"/>
      <c r="B27" s="354"/>
      <c r="C27" s="322"/>
      <c r="D27" s="322"/>
      <c r="E27" s="323"/>
      <c r="F27" s="324">
        <f t="shared" si="1"/>
        <v>0</v>
      </c>
    </row>
    <row r="28" spans="1:6">
      <c r="A28" s="353"/>
      <c r="B28" s="354"/>
      <c r="C28" s="322"/>
      <c r="D28" s="322"/>
      <c r="E28" s="323"/>
      <c r="F28" s="324">
        <f>D28*E28</f>
        <v>0</v>
      </c>
    </row>
    <row r="29" spans="1:6">
      <c r="A29" s="353"/>
      <c r="B29" s="354"/>
      <c r="C29" s="322"/>
      <c r="D29" s="322"/>
      <c r="E29" s="323"/>
      <c r="F29" s="324">
        <f>D29*E29</f>
        <v>0</v>
      </c>
    </row>
    <row r="30" spans="1:6">
      <c r="A30" s="353"/>
      <c r="B30" s="354"/>
      <c r="C30" s="322"/>
      <c r="D30" s="322"/>
      <c r="E30" s="323"/>
      <c r="F30" s="324">
        <f t="shared" ref="F30:F37" si="2">ROUND(D30*E30,0)</f>
        <v>0</v>
      </c>
    </row>
    <row r="31" spans="1:6">
      <c r="A31" s="353"/>
      <c r="B31" s="354"/>
      <c r="C31" s="322"/>
      <c r="D31" s="322"/>
      <c r="E31" s="323"/>
      <c r="F31" s="324">
        <f t="shared" si="2"/>
        <v>0</v>
      </c>
    </row>
    <row r="32" spans="1:6">
      <c r="A32" s="353"/>
      <c r="B32" s="354"/>
      <c r="C32" s="322"/>
      <c r="D32" s="322"/>
      <c r="E32" s="323"/>
      <c r="F32" s="324">
        <f t="shared" si="2"/>
        <v>0</v>
      </c>
    </row>
    <row r="33" spans="1:6">
      <c r="A33" s="353"/>
      <c r="B33" s="354"/>
      <c r="C33" s="322"/>
      <c r="D33" s="322"/>
      <c r="E33" s="323"/>
      <c r="F33" s="324">
        <f t="shared" si="2"/>
        <v>0</v>
      </c>
    </row>
    <row r="34" spans="1:6">
      <c r="A34" s="353"/>
      <c r="B34" s="354"/>
      <c r="C34" s="322"/>
      <c r="D34" s="322"/>
      <c r="E34" s="323"/>
      <c r="F34" s="324">
        <f t="shared" si="2"/>
        <v>0</v>
      </c>
    </row>
    <row r="35" spans="1:6">
      <c r="A35" s="353"/>
      <c r="B35" s="354"/>
      <c r="C35" s="322"/>
      <c r="D35" s="322"/>
      <c r="E35" s="323"/>
      <c r="F35" s="324">
        <f t="shared" si="2"/>
        <v>0</v>
      </c>
    </row>
    <row r="36" spans="1:6">
      <c r="A36" s="353"/>
      <c r="B36" s="354"/>
      <c r="C36" s="322"/>
      <c r="D36" s="322"/>
      <c r="E36" s="323"/>
      <c r="F36" s="324">
        <f t="shared" si="2"/>
        <v>0</v>
      </c>
    </row>
    <row r="37" spans="1:6" ht="18.600000000000001" thickBot="1">
      <c r="A37" s="358"/>
      <c r="B37" s="359"/>
      <c r="C37" s="325"/>
      <c r="D37" s="326"/>
      <c r="E37" s="327"/>
      <c r="F37" s="324">
        <f t="shared" si="2"/>
        <v>0</v>
      </c>
    </row>
    <row r="38" spans="1:6" ht="18.600000000000001" thickTop="1">
      <c r="A38" s="328"/>
      <c r="B38" s="328"/>
      <c r="C38" s="328"/>
      <c r="D38" s="329"/>
      <c r="E38" s="330" t="s">
        <v>18</v>
      </c>
      <c r="F38" s="331">
        <f>SUM(F15:F37)</f>
        <v>0</v>
      </c>
    </row>
    <row r="39" spans="1:6">
      <c r="A39" s="304"/>
      <c r="B39" s="304"/>
      <c r="C39" s="304"/>
      <c r="D39" s="304"/>
      <c r="E39" s="332" t="s">
        <v>19</v>
      </c>
      <c r="F39" s="333">
        <f>F40-F38</f>
        <v>0</v>
      </c>
    </row>
    <row r="40" spans="1:6">
      <c r="A40" s="304"/>
      <c r="B40" s="304"/>
      <c r="C40" s="304"/>
      <c r="D40" s="304"/>
      <c r="E40" s="332" t="s">
        <v>20</v>
      </c>
      <c r="F40" s="334">
        <f>INT(F38*1.1)</f>
        <v>0</v>
      </c>
    </row>
    <row r="41" spans="1:6">
      <c r="A41" s="304"/>
      <c r="B41" s="304"/>
      <c r="C41" s="304"/>
      <c r="D41" s="304"/>
      <c r="E41" s="304"/>
      <c r="F41" s="304"/>
    </row>
    <row r="42" spans="1:6">
      <c r="A42" s="360" t="s">
        <v>311</v>
      </c>
      <c r="B42" s="360"/>
      <c r="C42" s="304"/>
      <c r="D42" s="335" t="s">
        <v>312</v>
      </c>
      <c r="E42" s="336"/>
      <c r="F42" s="305"/>
    </row>
    <row r="43" spans="1:6">
      <c r="A43" s="357" t="s">
        <v>316</v>
      </c>
      <c r="B43" s="357"/>
      <c r="C43" s="304"/>
      <c r="D43" s="305"/>
      <c r="E43" s="305"/>
      <c r="F43" s="305"/>
    </row>
    <row r="44" spans="1:6">
      <c r="A44" s="357" t="s">
        <v>317</v>
      </c>
      <c r="B44" s="357"/>
      <c r="C44" s="304"/>
      <c r="D44" s="305"/>
      <c r="E44" s="305"/>
      <c r="F44" s="305"/>
    </row>
    <row r="45" spans="1:6">
      <c r="A45" s="357" t="s">
        <v>318</v>
      </c>
      <c r="B45" s="357"/>
      <c r="C45" s="305"/>
      <c r="D45" s="305"/>
      <c r="E45" s="305"/>
      <c r="F45" s="305"/>
    </row>
    <row r="46" spans="1:6">
      <c r="A46" s="357" t="s">
        <v>313</v>
      </c>
      <c r="B46" s="357"/>
      <c r="C46" s="304"/>
      <c r="D46" s="305"/>
      <c r="E46" s="305"/>
      <c r="F46" s="305"/>
    </row>
    <row r="47" spans="1:6">
      <c r="A47" s="357" t="s">
        <v>319</v>
      </c>
      <c r="B47" s="357"/>
      <c r="C47" s="304"/>
      <c r="D47" s="305"/>
      <c r="E47" s="305"/>
      <c r="F47" s="305"/>
    </row>
  </sheetData>
  <mergeCells count="37">
    <mergeCell ref="A47:B47"/>
    <mergeCell ref="A37:B37"/>
    <mergeCell ref="A42:B42"/>
    <mergeCell ref="A43:B43"/>
    <mergeCell ref="A44:B44"/>
    <mergeCell ref="A45:B45"/>
    <mergeCell ref="A46:B46"/>
    <mergeCell ref="A36:B36"/>
    <mergeCell ref="A25:B25"/>
    <mergeCell ref="A26:B26"/>
    <mergeCell ref="A27:B27"/>
    <mergeCell ref="A28:B28"/>
    <mergeCell ref="A29:B29"/>
    <mergeCell ref="A30:B30"/>
    <mergeCell ref="A31:B31"/>
    <mergeCell ref="A32:B32"/>
    <mergeCell ref="A33:B33"/>
    <mergeCell ref="A34:B34"/>
    <mergeCell ref="A35:B35"/>
    <mergeCell ref="A24:B24"/>
    <mergeCell ref="E10:F10"/>
    <mergeCell ref="A14:B14"/>
    <mergeCell ref="A15:B15"/>
    <mergeCell ref="A16:B16"/>
    <mergeCell ref="A17:B17"/>
    <mergeCell ref="A18:B18"/>
    <mergeCell ref="A19:B19"/>
    <mergeCell ref="A20:B20"/>
    <mergeCell ref="A21:B21"/>
    <mergeCell ref="A22:B22"/>
    <mergeCell ref="A23:B23"/>
    <mergeCell ref="E9:F9"/>
    <mergeCell ref="A1:F1"/>
    <mergeCell ref="A4:B4"/>
    <mergeCell ref="E6:F6"/>
    <mergeCell ref="E7:F7"/>
    <mergeCell ref="E8:F8"/>
  </mergeCells>
  <phoneticPr fontId="12"/>
  <printOptions horizontalCentered="1" verticalCentered="1"/>
  <pageMargins left="7.8472222222222193E-2" right="7.8472222222222193E-2" top="0" bottom="0" header="0" footer="0"/>
  <pageSetup paperSize="9" scale="73"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9</vt:i4>
      </vt:variant>
    </vt:vector>
  </HeadingPairs>
  <TitlesOfParts>
    <vt:vector size="22" baseType="lpstr">
      <vt:lpstr>物件概要</vt:lpstr>
      <vt:lpstr>物件概要(2)</vt:lpstr>
      <vt:lpstr>見積書</vt:lpstr>
      <vt:lpstr>内訳明細書</vt:lpstr>
      <vt:lpstr>内訳明細書 (2)</vt:lpstr>
      <vt:lpstr>約款 (1)</vt:lpstr>
      <vt:lpstr>約款 (2)</vt:lpstr>
      <vt:lpstr>約款 (3)</vt:lpstr>
      <vt:lpstr>クーリングオフ説明</vt:lpstr>
      <vt:lpstr>請負契約書</vt:lpstr>
      <vt:lpstr>完工書</vt:lpstr>
      <vt:lpstr>工事保証</vt:lpstr>
      <vt:lpstr>請求書</vt:lpstr>
      <vt:lpstr>請求書!Print_Area</vt:lpstr>
      <vt:lpstr>内訳明細書!Print_Area</vt:lpstr>
      <vt:lpstr>'内訳明細書 (2)'!Print_Area</vt:lpstr>
      <vt:lpstr>物件概要!Print_Area</vt:lpstr>
      <vt:lpstr>'物件概要(2)'!Print_Area</vt:lpstr>
      <vt:lpstr>'約款 (1)'!Print_Area</vt:lpstr>
      <vt:lpstr>'約款 (2)'!Print_Area</vt:lpstr>
      <vt:lpstr>'約款 (3)'!Print_Area</vt:lpstr>
      <vt:lpst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祐二 藤原</cp:lastModifiedBy>
  <cp:lastPrinted>2026-03-05T15:31:20Z</cp:lastPrinted>
  <dcterms:created xsi:type="dcterms:W3CDTF">2015-12-21T00:50:00Z</dcterms:created>
  <dcterms:modified xsi:type="dcterms:W3CDTF">2026-07-20T15:08:19Z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1041-11.2.0.10666</vt:lpwstr>
  </property>
  <property fmtid="{D5CDD505-2E9C-101B-9397-08002B2CF9AE}" pid="3" name="KSOReadingLayout">
    <vt:bool>false</vt:bool>
  </property>
  <property fmtid="{D5CDD505-2E9C-101B-9397-08002B2CF9AE}" pid="4" name="ICV">
    <vt:lpwstr>9D6229F8233244A88B54E43E591F810A</vt:lpwstr>
  </property>
</Properties>
</file>