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worksheets/sheet10.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worksheets/sheet11.xml" ContentType="application/vnd.openxmlformats-officedocument.spreadsheetml.worksheet+xml"/>
  <Override PartName="/xl/drawings/drawing3.xml" ContentType="application/vnd.openxmlformats-officedocument.drawing+xml"/>
  <Override PartName="/xl/worksheets/sheet12.xml" ContentType="application/vnd.openxmlformats-officedocument.spreadsheetml.worksheet+xml"/>
  <Override PartName="/xl/drawings/drawing4.xml" ContentType="application/vnd.openxmlformats-officedocument.drawing+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5" activeTab="12" autoFilterDateGrouping="1"/>
  </bookViews>
  <sheets>
    <sheet xmlns:r="http://schemas.openxmlformats.org/officeDocument/2006/relationships" name="物件概要" sheetId="1" state="visible" r:id="rId1"/>
    <sheet xmlns:r="http://schemas.openxmlformats.org/officeDocument/2006/relationships" name="物件概要(2)" sheetId="2" state="visible" r:id="rId2"/>
    <sheet xmlns:r="http://schemas.openxmlformats.org/officeDocument/2006/relationships" name="見積書" sheetId="3" state="visible" r:id="rId3"/>
    <sheet xmlns:r="http://schemas.openxmlformats.org/officeDocument/2006/relationships" name="内訳明細書" sheetId="4" state="visible" r:id="rId4"/>
    <sheet xmlns:r="http://schemas.openxmlformats.org/officeDocument/2006/relationships" name="内訳明細書 (2)" sheetId="5" state="visible" r:id="rId5"/>
    <sheet xmlns:r="http://schemas.openxmlformats.org/officeDocument/2006/relationships" name="約款 (1)" sheetId="6" state="visible" r:id="rId6"/>
    <sheet xmlns:r="http://schemas.openxmlformats.org/officeDocument/2006/relationships" name="約款 (2)" sheetId="7" state="visible" r:id="rId7"/>
    <sheet xmlns:r="http://schemas.openxmlformats.org/officeDocument/2006/relationships" name="約款 (3)" sheetId="8" state="visible" r:id="rId8"/>
    <sheet xmlns:r="http://schemas.openxmlformats.org/officeDocument/2006/relationships" name="クーリングオフ説明" sheetId="9" state="visible" r:id="rId9"/>
    <sheet xmlns:r="http://schemas.openxmlformats.org/officeDocument/2006/relationships" name="請負契約書" sheetId="10" state="visible" r:id="rId10"/>
    <sheet xmlns:r="http://schemas.openxmlformats.org/officeDocument/2006/relationships" name="完工書" sheetId="11" state="visible" r:id="rId11"/>
    <sheet xmlns:r="http://schemas.openxmlformats.org/officeDocument/2006/relationships" name="工事保証" sheetId="12" state="visible" r:id="rId12"/>
    <sheet xmlns:r="http://schemas.openxmlformats.org/officeDocument/2006/relationships" name="請求書" sheetId="13" state="visible" r:id="rId13"/>
  </sheets>
  <definedNames>
    <definedName name="_xleta.AVERAGE" hidden="1" xlm="1">#NAME?</definedName>
    <definedName name="_xleta.EDATE" hidden="1" xlm="1">#NAME?</definedName>
    <definedName name="_xleta.ISNUMBER" hidden="1" xlm="1">#NAME?</definedName>
    <definedName name="_xleta.SUM" hidden="1" xlm="1">#NAME?</definedName>
    <definedName name="_xleta.SUMPRODUCT" hidden="1" xlm="1">#NAME?</definedName>
    <definedName name="_xlpm.isMajor" hidden="1" xlm="1">#NAME?</definedName>
    <definedName name="_xlpm.lastMajorRow" hidden="1" xlm="1">#NAME?</definedName>
    <definedName name="_xlpm.majorNo" hidden="1" xlm="1">#NAME?</definedName>
    <definedName name="_xlpm.minorNo" hidden="1" xlm="1">#NAME?</definedName>
    <definedName name="_xlpm.r" hidden="1" xlm="1">#NAME?</definedName>
    <definedName name="_xlpm.t" hidden="1" xlm="1">#NAME?</definedName>
    <definedName name="項目">見積書!$A$13:$A$29</definedName>
    <definedName name="_xlnm.Print_Area" localSheetId="0">'物件概要'!$A$1:$I$36</definedName>
    <definedName name="_xlnm.Print_Area" localSheetId="1">'物件概要(2)'!$A$1:$I$37</definedName>
    <definedName name="_xlnm.Print_Area" localSheetId="3">'内訳明細書'!$A$1:$I$32</definedName>
    <definedName name="_xlnm.Print_Area" localSheetId="4">'内訳明細書 (2)'!$A$1:$I$32</definedName>
    <definedName name="_xlnm.Print_Area" localSheetId="5">'約款 (1)'!$A$1:$D$49</definedName>
    <definedName name="_xlnm.Print_Area" localSheetId="6">'約款 (2)'!$A$1:$D$49</definedName>
    <definedName name="_xlnm.Print_Area" localSheetId="7">'約款 (3)'!$A$1:$D$49</definedName>
    <definedName name="_xlnm.Print_Area" localSheetId="12">'請求書'!$A$1:$F$49</definedName>
  </definedNames>
  <calcPr calcId="191029" fullCalcOnLoad="1" concurrentCalc="0"/>
</workbook>
</file>

<file path=xl/styles.xml><?xml version="1.0" encoding="utf-8"?>
<styleSheet xmlns="http://schemas.openxmlformats.org/spreadsheetml/2006/main">
  <numFmts count="19">
    <numFmt numFmtId="164" formatCode="0.0_ "/>
    <numFmt numFmtId="165" formatCode="0.00_ "/>
    <numFmt numFmtId="166" formatCode="0.0_);[Red]\(0.0\)"/>
    <numFmt numFmtId="167" formatCode=";;;"/>
    <numFmt numFmtId="168" formatCode="\(0.00\)_ ;;;"/>
    <numFmt numFmtId="169" formatCode="0.00_ ;;;"/>
    <numFmt numFmtId="170" formatCode="\(0.00%\);;;"/>
    <numFmt numFmtId="171" formatCode="\(0.00\)"/>
    <numFmt numFmtId="172" formatCode="_ * #,##0_ ;_ * \-#,##0_ ;_ * &quot;-&quot;_ ;_ @_ "/>
    <numFmt numFmtId="173" formatCode="#,##0_);[Red]\(#,##0\)"/>
    <numFmt numFmtId="174" formatCode="&quot;¥&quot;#,##0;&quot;¥&quot;\-#,##0"/>
    <numFmt numFmtId="175" formatCode="#,##0_ "/>
    <numFmt numFmtId="176" formatCode="#,##0;[Red]\-#,##0&quot;（税込）&quot;"/>
    <numFmt numFmtId="177" formatCode="0_ ;;;"/>
    <numFmt numFmtId="178" formatCode="yyyy&quot;年&quot;mm&quot;月&quot;dd&quot;日&quot;"/>
    <numFmt numFmtId="179" formatCode="&quot;¥&quot;#,##0;[Red]&quot;¥&quot;#,##0"/>
    <numFmt numFmtId="180" formatCode="#,##0;&quot;▲&quot;#,##0;#"/>
    <numFmt numFmtId="181" formatCode="_-&quot;¥&quot;* #,##0_-\ ;\-&quot;¥&quot;* #,##0_-\ ;_-&quot;¥&quot;* &quot;-&quot;??_-\ ;_-@_-"/>
    <numFmt numFmtId="182" formatCode="&quot;¥&quot;#,##0;[Red]&quot;¥&quot;\-#,##0"/>
  </numFmts>
  <fonts count="97">
    <font>
      <name val="Yu Gothic"/>
      <charset val="128"/>
      <color theme="1"/>
      <sz val="11"/>
      <scheme val="minor"/>
    </font>
    <font>
      <name val="Yu Gothic"/>
      <charset val="128"/>
      <color theme="1"/>
      <sz val="12"/>
      <scheme val="minor"/>
    </font>
    <font>
      <name val="游ゴシック"/>
      <charset val="128"/>
      <family val="3"/>
      <b val="1"/>
      <color theme="6" tint="-0.499984740745262"/>
      <sz val="11"/>
    </font>
    <font>
      <name val="游ゴシック"/>
      <charset val="128"/>
      <family val="3"/>
      <b val="1"/>
      <color theme="6" tint="-0.499984740745262"/>
      <sz val="12"/>
    </font>
    <font>
      <name val="游ゴシック"/>
      <charset val="128"/>
      <family val="3"/>
      <color theme="6" tint="-0.499984740745262"/>
      <sz val="12"/>
    </font>
    <font>
      <name val="游ゴシック"/>
      <charset val="128"/>
      <family val="3"/>
      <color rgb="FF34401A"/>
      <sz val="12"/>
    </font>
    <font>
      <name val="游ゴシック"/>
      <charset val="128"/>
      <family val="3"/>
      <color theme="1"/>
      <sz val="12"/>
    </font>
    <font>
      <name val="游ゴシック"/>
      <charset val="128"/>
      <family val="3"/>
      <b val="1"/>
      <color theme="6" tint="-0.499984740745262"/>
      <sz val="9"/>
    </font>
    <font>
      <name val="Yu Gothic"/>
      <charset val="128"/>
      <color rgb="FF34401A"/>
      <sz val="11"/>
      <scheme val="minor"/>
    </font>
    <font>
      <name val="Helvetica"/>
      <family val="2"/>
      <b val="1"/>
      <color rgb="FF222222"/>
      <sz val="24"/>
    </font>
    <font>
      <name val="ＭＳ Ｐゴシック"/>
      <charset val="128"/>
      <family val="3"/>
      <sz val="11"/>
    </font>
    <font>
      <name val="Yu Gothic"/>
      <charset val="128"/>
      <color theme="1"/>
      <sz val="11"/>
      <scheme val="minor"/>
    </font>
    <font>
      <name val="Yu Gothic"/>
      <charset val="128"/>
      <sz val="6"/>
      <scheme val="minor"/>
    </font>
    <font>
      <name val="Yu Gothic"/>
      <charset val="128"/>
      <family val="3"/>
      <b val="1"/>
      <color theme="1"/>
      <sz val="11"/>
      <scheme val="minor"/>
    </font>
    <font>
      <name val="Yu Gothic"/>
      <charset val="128"/>
      <family val="3"/>
      <color theme="1"/>
      <sz val="11"/>
      <scheme val="minor"/>
    </font>
    <font>
      <name val="Yu Gothic"/>
      <charset val="128"/>
      <family val="3"/>
      <b val="1"/>
      <color theme="1"/>
      <sz val="12"/>
      <scheme val="minor"/>
    </font>
    <font>
      <name val="Yu Gothic"/>
      <charset val="128"/>
      <family val="3"/>
      <color theme="1"/>
      <sz val="12"/>
      <scheme val="minor"/>
    </font>
    <font>
      <name val="Meiryo UI"/>
      <charset val="128"/>
      <family val="3"/>
      <color rgb="FF000000"/>
      <sz val="9"/>
    </font>
    <font>
      <name val="Yu Gothic"/>
      <charset val="128"/>
      <color theme="0" tint="-0.249977111117893"/>
      <sz val="11"/>
      <scheme val="minor"/>
    </font>
    <font>
      <name val="Yu Gothic"/>
      <charset val="128"/>
      <family val="3"/>
      <color theme="0" tint="-0.249977111117893"/>
      <sz val="11"/>
      <scheme val="minor"/>
    </font>
    <font>
      <name val="Yu Gothic"/>
      <charset val="128"/>
      <family val="3"/>
      <b val="1"/>
      <color theme="0" tint="-0.249977111117893"/>
      <sz val="11"/>
      <scheme val="minor"/>
    </font>
    <font>
      <name val="Yu Gothic"/>
      <charset val="128"/>
      <family val="3"/>
      <b val="1"/>
      <color theme="1" tint="0.499984740745262"/>
      <sz val="11"/>
      <scheme val="minor"/>
    </font>
    <font>
      <name val="Yu Gothic"/>
      <charset val="128"/>
      <sz val="11"/>
      <scheme val="minor"/>
    </font>
    <font>
      <name val="Yu Gothic"/>
      <charset val="128"/>
      <family val="3"/>
      <sz val="11"/>
      <scheme val="minor"/>
    </font>
    <font>
      <name val="Yu Gothic"/>
      <charset val="128"/>
      <color theme="0" tint="-0.1499984740745262"/>
      <sz val="11"/>
      <scheme val="minor"/>
    </font>
    <font>
      <name val="Yu Gothic"/>
      <charset val="128"/>
      <family val="3"/>
      <color theme="0" tint="-0.1499984740745262"/>
      <sz val="11"/>
      <scheme val="minor"/>
    </font>
    <font>
      <name val="Yu Gothic"/>
      <charset val="128"/>
      <family val="3"/>
      <color theme="1"/>
      <sz val="10"/>
      <scheme val="minor"/>
    </font>
    <font>
      <name val="Yu Gothic"/>
      <charset val="128"/>
      <color theme="1"/>
      <sz val="8"/>
      <scheme val="minor"/>
    </font>
    <font>
      <name val="Yu Gothic"/>
      <charset val="128"/>
      <family val="3"/>
      <color theme="1"/>
      <sz val="8"/>
      <scheme val="minor"/>
    </font>
    <font>
      <name val="Yu Gothic"/>
      <charset val="128"/>
      <color theme="1"/>
      <sz val="7.3"/>
      <scheme val="minor"/>
    </font>
    <font>
      <name val="Yu Gothic"/>
      <charset val="128"/>
      <family val="3"/>
      <color theme="1"/>
      <sz val="7.3"/>
      <scheme val="minor"/>
    </font>
    <font>
      <name val="游ゴシック"/>
      <charset val="128"/>
      <family val="3"/>
      <b val="1"/>
      <color theme="1" tint="0.1499679555650502"/>
      <sz val="16"/>
    </font>
    <font>
      <name val="Yu Gothic"/>
      <charset val="128"/>
      <color theme="1"/>
      <sz val="9"/>
      <scheme val="minor"/>
    </font>
    <font>
      <name val="Yu Gothic"/>
      <charset val="128"/>
      <family val="3"/>
      <color theme="1"/>
      <sz val="9"/>
      <scheme val="minor"/>
    </font>
    <font>
      <name val="游ゴシック"/>
      <charset val="128"/>
      <family val="3"/>
      <sz val="12"/>
    </font>
    <font>
      <name val="游ゴシック"/>
      <charset val="128"/>
      <family val="3"/>
      <sz val="9"/>
    </font>
    <font>
      <name val="游ゴシック"/>
      <charset val="128"/>
      <family val="3"/>
      <b val="1"/>
      <color theme="1" tint="0.249977111117893"/>
      <sz val="11"/>
    </font>
    <font>
      <name val="游ゴシック"/>
      <charset val="128"/>
      <family val="3"/>
      <b val="1"/>
      <color theme="1" tint="0.249977111117893"/>
      <sz val="14"/>
    </font>
    <font>
      <name val="游ゴシック"/>
      <charset val="128"/>
      <family val="3"/>
      <b val="1"/>
      <color theme="1" tint="0.249977111117893"/>
      <sz val="8"/>
    </font>
    <font>
      <name val="游ゴシック"/>
      <charset val="128"/>
      <family val="3"/>
      <b val="1"/>
      <color theme="1" tint="0.249977111117893"/>
      <sz val="10"/>
    </font>
    <font>
      <name val="游ゴシック"/>
      <charset val="128"/>
      <family val="3"/>
      <b val="1"/>
      <color theme="1" tint="0.249977111117893"/>
      <sz val="7"/>
    </font>
    <font>
      <name val="游ゴシック"/>
      <charset val="128"/>
      <family val="3"/>
      <color theme="1" tint="0.249977111117893"/>
      <sz val="11"/>
    </font>
    <font>
      <name val="游ゴシック"/>
      <charset val="128"/>
      <family val="3"/>
      <color theme="1" tint="0.249977111117893"/>
      <sz val="9"/>
    </font>
    <font>
      <name val="游ゴシック"/>
      <charset val="128"/>
      <family val="3"/>
      <color theme="1" tint="0.249977111117893"/>
      <sz val="12"/>
    </font>
    <font>
      <name val="游ゴシック"/>
      <charset val="128"/>
      <family val="3"/>
      <b val="1"/>
      <color theme="1" tint="0.249977111117893"/>
      <sz val="12"/>
    </font>
    <font>
      <name val="游ゴシック"/>
      <charset val="128"/>
      <family val="3"/>
      <b val="1"/>
      <color theme="1" tint="0.3499862666707358"/>
      <sz val="16"/>
    </font>
    <font>
      <name val="游ゴシック"/>
      <charset val="128"/>
      <family val="3"/>
      <b val="1"/>
      <color theme="1" tint="0.499984740745262"/>
      <sz val="14"/>
    </font>
    <font>
      <name val="游ゴシック"/>
      <charset val="128"/>
      <family val="3"/>
      <b val="1"/>
      <color theme="1" tint="0.499984740745262"/>
      <sz val="9"/>
    </font>
    <font>
      <name val="游ゴシック"/>
      <charset val="128"/>
      <family val="3"/>
      <b val="1"/>
      <color theme="1" tint="0.499984740745262"/>
      <sz val="11"/>
    </font>
    <font>
      <name val="游ゴシック"/>
      <charset val="128"/>
      <family val="3"/>
      <color theme="6" tint="-0.499984740745262"/>
      <sz val="9"/>
    </font>
    <font>
      <name val="游ゴシック"/>
      <charset val="128"/>
      <family val="3"/>
      <color rgb="FF34401A"/>
      <sz val="9"/>
    </font>
    <font>
      <name val="游ゴシック"/>
      <charset val="128"/>
      <family val="3"/>
      <color theme="1"/>
      <sz val="9"/>
    </font>
    <font>
      <name val="游ゴシック"/>
      <charset val="128"/>
      <family val="3"/>
      <b val="1"/>
      <color theme="0"/>
      <sz val="12"/>
    </font>
    <font>
      <name val="游ゴシック"/>
      <charset val="128"/>
      <family val="3"/>
      <b val="1"/>
      <color theme="0"/>
      <sz val="11"/>
    </font>
    <font>
      <name val="游ゴシック"/>
      <charset val="128"/>
      <family val="3"/>
      <b val="1"/>
      <color rgb="FF3F8169"/>
      <sz val="18"/>
    </font>
    <font>
      <name val="游ゴシック"/>
      <charset val="128"/>
      <family val="3"/>
      <b val="1"/>
      <color rgb="FF3F8169"/>
      <sz val="14"/>
    </font>
    <font>
      <name val="游ゴシック"/>
      <charset val="128"/>
      <family val="3"/>
      <color theme="1" tint="0.3499862666707358"/>
      <sz val="9"/>
    </font>
    <font>
      <name val="Yu Gothic"/>
      <charset val="128"/>
      <color theme="0"/>
      <sz val="11"/>
      <scheme val="minor"/>
    </font>
    <font>
      <name val="Yu Gothic"/>
      <charset val="128"/>
      <color rgb="FF3F8169"/>
      <sz val="11"/>
      <scheme val="minor"/>
    </font>
    <font>
      <name val="游ゴシック"/>
      <charset val="128"/>
      <family val="3"/>
      <b val="1"/>
      <color theme="1" tint="0.499984740745262"/>
      <sz val="16"/>
    </font>
    <font>
      <name val="游ゴシック"/>
      <charset val="128"/>
      <family val="3"/>
      <color theme="1" tint="0.3499862666707358"/>
      <sz val="11"/>
    </font>
    <font>
      <name val="Yu Gothic"/>
      <charset val="128"/>
      <color theme="1" tint="0.3499862666707358"/>
      <sz val="11"/>
      <scheme val="minor"/>
    </font>
    <font>
      <name val="游明朝"/>
      <charset val="128"/>
      <family val="1"/>
      <b val="1"/>
      <sz val="22"/>
    </font>
    <font>
      <name val="游明朝"/>
      <charset val="128"/>
      <family val="1"/>
      <b val="1"/>
      <sz val="14"/>
    </font>
    <font>
      <name val="游明朝"/>
      <charset val="128"/>
      <family val="1"/>
      <sz val="14"/>
    </font>
    <font>
      <name val="游ゴシック"/>
      <charset val="128"/>
      <family val="3"/>
      <sz val="14"/>
    </font>
    <font>
      <name val="游ゴシック"/>
      <charset val="128"/>
      <family val="3"/>
      <b val="1"/>
      <sz val="12"/>
    </font>
    <font>
      <name val="游ゴシック"/>
      <charset val="128"/>
      <family val="3"/>
      <b val="1"/>
      <sz val="14"/>
    </font>
    <font>
      <name val="游明朝"/>
      <charset val="128"/>
      <family val="1"/>
      <color theme="1"/>
      <sz val="10"/>
    </font>
    <font>
      <name val="游明朝"/>
      <charset val="128"/>
      <family val="1"/>
      <color rgb="FFFF0000"/>
      <sz val="10"/>
    </font>
    <font>
      <name val="游明朝"/>
      <charset val="128"/>
      <family val="1"/>
      <b val="1"/>
      <color rgb="FFFF0000"/>
      <sz val="10"/>
    </font>
    <font>
      <name val="游明朝"/>
      <charset val="128"/>
      <family val="1"/>
      <color theme="1"/>
      <sz val="12"/>
    </font>
    <font>
      <name val="游明朝"/>
      <charset val="128"/>
      <family val="1"/>
      <b val="1"/>
      <color rgb="FFFF0000"/>
      <sz val="12"/>
    </font>
    <font>
      <name val="游ゴシック"/>
      <charset val="128"/>
      <family val="3"/>
      <b val="1"/>
      <sz val="24"/>
    </font>
    <font>
      <name val="游明朝"/>
      <charset val="128"/>
      <family val="1"/>
      <b val="1"/>
      <sz val="11"/>
    </font>
    <font>
      <name val="游明朝"/>
      <charset val="128"/>
      <family val="1"/>
      <b val="1"/>
      <sz val="10"/>
    </font>
    <font>
      <name val="游ゴシック"/>
      <charset val="128"/>
      <family val="3"/>
      <color theme="0" tint="-0.249977111117893"/>
      <sz val="9"/>
    </font>
    <font>
      <name val="游ゴシック"/>
      <charset val="128"/>
      <family val="3"/>
      <b val="1"/>
      <sz val="9"/>
    </font>
    <font>
      <name val="游ゴシック"/>
      <charset val="128"/>
      <family val="3"/>
      <b val="1"/>
      <sz val="10"/>
    </font>
    <font>
      <name val="游明朝"/>
      <charset val="128"/>
      <family val="1"/>
      <b val="1"/>
      <sz val="9"/>
    </font>
    <font>
      <name val="游ゴシック"/>
      <charset val="128"/>
      <family val="3"/>
      <b val="1"/>
      <sz val="6"/>
    </font>
    <font>
      <name val="游ゴシック"/>
      <charset val="128"/>
      <family val="3"/>
      <b val="1"/>
      <color theme="1"/>
      <sz val="12"/>
    </font>
    <font>
      <name val="游ゴシック"/>
      <charset val="128"/>
      <family val="3"/>
      <color theme="1"/>
      <sz val="11"/>
    </font>
    <font>
      <name val="游ゴシック"/>
      <charset val="128"/>
      <family val="3"/>
      <sz val="11"/>
    </font>
    <font>
      <name val="游ゴシック"/>
      <charset val="128"/>
      <family val="3"/>
      <sz val="10"/>
    </font>
    <font>
      <name val="游明朝"/>
      <charset val="128"/>
      <family val="1"/>
      <b val="1"/>
      <sz val="18"/>
    </font>
    <font>
      <name val="Yu Gothic"/>
      <charset val="128"/>
      <color theme="10"/>
      <sz val="11"/>
      <u val="single"/>
      <scheme val="minor"/>
    </font>
    <font>
      <name val="游明朝"/>
      <charset val="128"/>
      <family val="1"/>
      <color theme="1"/>
      <sz val="11"/>
    </font>
    <font>
      <name val="游明朝"/>
      <charset val="128"/>
      <family val="1"/>
      <color theme="1"/>
      <sz val="18"/>
    </font>
    <font>
      <name val="游明朝"/>
      <charset val="128"/>
      <family val="1"/>
      <color theme="1"/>
      <sz val="14"/>
    </font>
    <font>
      <name val="游明朝"/>
      <charset val="128"/>
      <family val="1"/>
      <color theme="1"/>
      <sz val="8"/>
    </font>
    <font>
      <name val="游ゴシック"/>
      <charset val="128"/>
      <family val="3"/>
      <color rgb="FF34401A"/>
      <sz val="11"/>
    </font>
    <font>
      <name val="游ゴシック"/>
      <charset val="128"/>
      <family val="3"/>
      <b val="1"/>
      <sz val="11"/>
    </font>
    <font>
      <name val="游ゴシック"/>
      <charset val="128"/>
      <family val="3"/>
      <b val="1"/>
      <sz val="7"/>
    </font>
    <font>
      <name val="游ゴシック"/>
      <charset val="128"/>
      <family val="3"/>
      <b val="1"/>
      <sz val="16"/>
    </font>
    <font>
      <name val="游ゴシック"/>
      <charset val="128"/>
      <family val="3"/>
      <b val="1"/>
      <sz val="8"/>
    </font>
    <font>
      <name val="游明朝"/>
      <charset val="128"/>
      <family val="1"/>
      <color theme="1"/>
      <sz val="7"/>
    </font>
  </fonts>
  <fills count="6">
    <fill>
      <patternFill/>
    </fill>
    <fill>
      <patternFill patternType="gray125"/>
    </fill>
    <fill>
      <patternFill patternType="solid">
        <fgColor theme="0" tint="-0.1499984740745262"/>
        <bgColor indexed="64"/>
      </patternFill>
    </fill>
    <fill>
      <patternFill patternType="solid">
        <fgColor rgb="FF62B295"/>
        <bgColor indexed="64"/>
      </patternFill>
    </fill>
    <fill>
      <patternFill patternType="solid">
        <fgColor rgb="FFEFF7F4"/>
        <bgColor indexed="64"/>
      </patternFill>
    </fill>
    <fill>
      <patternFill patternType="solid">
        <fgColor indexed="22"/>
        <bgColor indexed="31"/>
      </patternFill>
    </fill>
  </fills>
  <borders count="20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right/>
      <top/>
      <bottom style="double">
        <color auto="1"/>
      </bottom>
      <diagonal/>
    </border>
    <border>
      <left style="medium">
        <color auto="1"/>
      </left>
      <right/>
      <top/>
      <bottom/>
      <diagonal/>
    </border>
    <border>
      <left style="medium">
        <color auto="1"/>
      </left>
      <right/>
      <top/>
      <bottom style="thin">
        <color auto="1"/>
      </bottom>
      <diagonal/>
    </border>
    <border>
      <left/>
      <right/>
      <top style="double">
        <color auto="1"/>
      </top>
      <bottom/>
      <diagonal/>
    </border>
    <border>
      <left/>
      <right/>
      <top/>
      <bottom style="medium">
        <color auto="1"/>
      </bottom>
      <diagonal/>
    </border>
    <border>
      <left style="medium">
        <color auto="1"/>
      </left>
      <right/>
      <top style="medium">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style="hair">
        <color auto="1"/>
      </right>
      <top/>
      <bottom style="hair">
        <color auto="1"/>
      </bottom>
      <diagonal/>
    </border>
    <border>
      <left style="hair">
        <color auto="1"/>
      </left>
      <right style="hair">
        <color auto="1"/>
      </right>
      <top style="hair">
        <color auto="1"/>
      </top>
      <bottom/>
      <diagonal/>
    </border>
    <border>
      <left/>
      <right style="hair">
        <color auto="1"/>
      </right>
      <top style="hair">
        <color auto="1"/>
      </top>
      <bottom style="thin">
        <color theme="1" tint="0.249977111117893"/>
      </bottom>
      <diagonal/>
    </border>
    <border>
      <left style="hair">
        <color auto="1"/>
      </left>
      <right style="hair">
        <color auto="1"/>
      </right>
      <top style="hair">
        <color auto="1"/>
      </top>
      <bottom style="thin">
        <color theme="1" tint="0.249977111117893"/>
      </bottom>
      <diagonal/>
    </border>
    <border>
      <left/>
      <right/>
      <top style="hair">
        <color auto="1"/>
      </top>
      <bottom/>
      <diagonal/>
    </border>
    <border>
      <left style="thick">
        <color indexed="64"/>
      </left>
      <right style="hair">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hair">
        <color indexed="64"/>
      </left>
      <right style="thick">
        <color indexed="64"/>
      </right>
      <top/>
      <bottom style="hair">
        <color indexed="64"/>
      </bottom>
      <diagonal/>
    </border>
    <border>
      <left style="hair">
        <color auto="1"/>
      </left>
      <right style="thin">
        <color indexed="64"/>
      </right>
      <top style="hair">
        <color auto="1"/>
      </top>
      <bottom style="hair">
        <color auto="1"/>
      </bottom>
      <diagonal/>
    </border>
    <border>
      <left style="hair">
        <color auto="1"/>
      </left>
      <right style="thin">
        <color indexed="64"/>
      </right>
      <top style="hair">
        <color auto="1"/>
      </top>
      <bottom/>
      <diagonal/>
    </border>
    <border>
      <left/>
      <right/>
      <top style="hair">
        <color auto="1"/>
      </top>
      <bottom style="hair">
        <color auto="1"/>
      </bottom>
      <diagonal/>
    </border>
    <border>
      <left style="hair">
        <color auto="1"/>
      </left>
      <right style="hair">
        <color auto="1"/>
      </right>
      <top/>
      <bottom/>
      <diagonal/>
    </border>
    <border>
      <left/>
      <right/>
      <top/>
      <bottom style="hair">
        <color auto="1"/>
      </bottom>
      <diagonal/>
    </border>
    <border>
      <left style="hair">
        <color auto="1"/>
      </left>
      <right style="hair">
        <color auto="1"/>
      </right>
      <top/>
      <bottom style="thin">
        <color indexed="64"/>
      </bottom>
      <diagonal/>
    </border>
    <border>
      <left style="medium">
        <color indexed="64"/>
      </left>
      <right style="hair">
        <color auto="1"/>
      </right>
      <top style="medium">
        <color indexed="64"/>
      </top>
      <bottom style="hair">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right style="hair">
        <color auto="1"/>
      </right>
      <top/>
      <bottom/>
      <diagonal/>
    </border>
    <border>
      <left style="hair">
        <color auto="1"/>
      </left>
      <right/>
      <top style="medium">
        <color indexed="64"/>
      </top>
      <bottom style="hair">
        <color auto="1"/>
      </bottom>
      <diagonal/>
    </border>
    <border>
      <left style="hair">
        <color auto="1"/>
      </left>
      <right/>
      <top style="hair">
        <color auto="1"/>
      </top>
      <bottom style="medium">
        <color indexed="64"/>
      </bottom>
      <diagonal/>
    </border>
    <border>
      <left style="hair">
        <color auto="1"/>
      </left>
      <right style="medium">
        <color indexed="64"/>
      </right>
      <top/>
      <bottom style="hair">
        <color auto="1"/>
      </bottom>
      <diagonal/>
    </border>
    <border>
      <left style="thick">
        <color indexed="64"/>
      </left>
      <right style="hair">
        <color auto="1"/>
      </right>
      <top style="thick">
        <color indexed="64"/>
      </top>
      <bottom style="hair">
        <color auto="1"/>
      </bottom>
      <diagonal/>
    </border>
    <border>
      <left style="hair">
        <color auto="1"/>
      </left>
      <right style="hair">
        <color auto="1"/>
      </right>
      <top style="thick">
        <color indexed="64"/>
      </top>
      <bottom style="hair">
        <color auto="1"/>
      </bottom>
      <diagonal/>
    </border>
    <border>
      <left style="hair">
        <color auto="1"/>
      </left>
      <right style="thick">
        <color indexed="64"/>
      </right>
      <top style="thick">
        <color indexed="64"/>
      </top>
      <bottom style="hair">
        <color auto="1"/>
      </bottom>
      <diagonal/>
    </border>
    <border>
      <left style="thick">
        <color indexed="64"/>
      </left>
      <right style="hair">
        <color auto="1"/>
      </right>
      <top style="thick">
        <color indexed="64"/>
      </top>
      <bottom style="thick">
        <color indexed="64"/>
      </bottom>
      <diagonal/>
    </border>
    <border>
      <left style="hair">
        <color auto="1"/>
      </left>
      <right style="hair">
        <color auto="1"/>
      </right>
      <top style="thick">
        <color indexed="64"/>
      </top>
      <bottom style="thick">
        <color indexed="64"/>
      </bottom>
      <diagonal/>
    </border>
    <border>
      <left style="hair">
        <color auto="1"/>
      </left>
      <right style="thick">
        <color indexed="64"/>
      </right>
      <top style="thick">
        <color indexed="64"/>
      </top>
      <bottom style="thick">
        <color indexed="64"/>
      </bottom>
      <diagonal/>
    </border>
    <border>
      <left style="hair">
        <color auto="1"/>
      </left>
      <right style="medium">
        <color indexed="64"/>
      </right>
      <top/>
      <bottom style="thin">
        <color auto="1"/>
      </bottom>
      <diagonal/>
    </border>
    <border>
      <left style="hair">
        <color auto="1"/>
      </left>
      <right style="hair">
        <color auto="1"/>
      </right>
      <top/>
      <bottom style="thin">
        <color theme="1" tint="0.249977111117893"/>
      </bottom>
      <diagonal/>
    </border>
    <border>
      <left style="medium">
        <color indexed="64"/>
      </left>
      <right style="hair">
        <color auto="1"/>
      </right>
      <top style="hair">
        <color auto="1"/>
      </top>
      <bottom/>
      <diagonal/>
    </border>
    <border>
      <left style="hair">
        <color auto="1"/>
      </left>
      <right style="medium">
        <color indexed="64"/>
      </right>
      <top style="hair">
        <color auto="1"/>
      </top>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hair">
        <color auto="1"/>
      </right>
      <top style="medium">
        <color indexed="64"/>
      </top>
      <bottom style="hair">
        <color auto="1"/>
      </bottom>
      <diagonal/>
    </border>
    <border>
      <left style="medium">
        <color indexed="64"/>
      </left>
      <right/>
      <top style="hair">
        <color auto="1"/>
      </top>
      <bottom style="hair">
        <color auto="1"/>
      </bottom>
      <diagonal/>
    </border>
    <border>
      <left style="medium">
        <color indexed="64"/>
      </left>
      <right/>
      <top style="hair">
        <color auto="1"/>
      </top>
      <bottom style="thin">
        <color theme="1" tint="0.249977111117893"/>
      </bottom>
      <diagonal/>
    </border>
    <border>
      <left style="hair">
        <color auto="1"/>
      </left>
      <right style="medium">
        <color indexed="64"/>
      </right>
      <top style="hair">
        <color auto="1"/>
      </top>
      <bottom style="thin">
        <color theme="1" tint="0.249977111117893"/>
      </bottom>
      <diagonal/>
    </border>
    <border>
      <left style="medium">
        <color indexed="64"/>
      </left>
      <right/>
      <top style="hair">
        <color auto="1"/>
      </top>
      <bottom/>
      <diagonal/>
    </border>
    <border>
      <left style="thick">
        <color auto="1"/>
      </left>
      <right style="thick">
        <color auto="1"/>
      </right>
      <top style="thick">
        <color auto="1"/>
      </top>
      <bottom style="hair">
        <color auto="1"/>
      </bottom>
      <diagonal/>
    </border>
    <border>
      <left style="thick">
        <color auto="1"/>
      </left>
      <right style="thick">
        <color auto="1"/>
      </right>
      <top style="hair">
        <color auto="1"/>
      </top>
      <bottom style="hair">
        <color auto="1"/>
      </bottom>
      <diagonal/>
    </border>
    <border>
      <left style="hair">
        <color auto="1"/>
      </left>
      <right/>
      <top style="hair">
        <color auto="1"/>
      </top>
      <bottom/>
      <diagonal/>
    </border>
    <border>
      <left style="hair">
        <color auto="1"/>
      </left>
      <right style="thick">
        <color indexed="64"/>
      </right>
      <top style="hair">
        <color indexed="64"/>
      </top>
      <bottom style="medium">
        <color indexed="64"/>
      </bottom>
      <diagonal/>
    </border>
    <border>
      <left/>
      <right style="hair">
        <color auto="1"/>
      </right>
      <top style="hair">
        <color auto="1"/>
      </top>
      <bottom style="thick">
        <color indexed="64"/>
      </bottom>
      <diagonal/>
    </border>
    <border>
      <left style="thick">
        <color indexed="64"/>
      </left>
      <right style="hair">
        <color auto="1"/>
      </right>
      <top style="hair">
        <color auto="1"/>
      </top>
      <bottom style="medium">
        <color indexed="64"/>
      </bottom>
      <diagonal/>
    </border>
    <border>
      <left style="hair">
        <color auto="1"/>
      </left>
      <right/>
      <top/>
      <bottom/>
      <diagonal/>
    </border>
    <border>
      <left/>
      <right style="thick">
        <color indexed="64"/>
      </right>
      <top style="hair">
        <color indexed="64"/>
      </top>
      <bottom style="hair">
        <color auto="1"/>
      </bottom>
      <diagonal/>
    </border>
    <border>
      <left style="hair">
        <color auto="1"/>
      </left>
      <right style="hair">
        <color auto="1"/>
      </right>
      <top style="thick">
        <color indexed="64"/>
      </top>
      <bottom/>
      <diagonal/>
    </border>
    <border>
      <left style="hair">
        <color auto="1"/>
      </left>
      <right style="thick">
        <color indexed="64"/>
      </right>
      <top style="thick">
        <color indexed="64"/>
      </top>
      <bottom/>
      <diagonal/>
    </border>
    <border>
      <left/>
      <right style="hair">
        <color auto="1"/>
      </right>
      <top style="thick">
        <color indexed="64"/>
      </top>
      <bottom/>
      <diagonal/>
    </border>
    <border>
      <left style="hair">
        <color auto="1"/>
      </left>
      <right style="hair">
        <color auto="1"/>
      </right>
      <top/>
      <bottom style="thick">
        <color indexed="64"/>
      </bottom>
      <diagonal/>
    </border>
    <border>
      <left style="hair">
        <color auto="1"/>
      </left>
      <right style="thick">
        <color indexed="64"/>
      </right>
      <top/>
      <bottom style="thick">
        <color indexed="64"/>
      </bottom>
      <diagonal/>
    </border>
    <border>
      <left/>
      <right style="hair">
        <color auto="1"/>
      </right>
      <top style="medium">
        <color indexed="64"/>
      </top>
      <bottom/>
      <diagonal/>
    </border>
    <border>
      <left/>
      <right style="hair">
        <color indexed="64"/>
      </right>
      <top/>
      <bottom style="thin">
        <color indexed="64"/>
      </bottom>
      <diagonal/>
    </border>
    <border>
      <left style="hair">
        <color indexed="64"/>
      </left>
      <right/>
      <top/>
      <bottom style="thin">
        <color indexed="64"/>
      </bottom>
      <diagonal/>
    </border>
    <border>
      <left style="hair">
        <color indexed="64"/>
      </left>
      <right style="hair">
        <color indexed="64"/>
      </right>
      <top style="hair">
        <color indexed="64"/>
      </top>
      <bottom style="thin">
        <color indexed="64"/>
      </bottom>
      <diagonal/>
    </border>
    <border>
      <left style="hair">
        <color auto="1"/>
      </left>
      <right/>
      <top/>
      <bottom style="hair">
        <color auto="1"/>
      </bottom>
      <diagonal/>
    </border>
    <border>
      <left style="thick">
        <color auto="1"/>
      </left>
      <right style="thick">
        <color auto="1"/>
      </right>
      <top style="hair">
        <color auto="1"/>
      </top>
      <bottom style="thick">
        <color auto="1"/>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auto="1"/>
      </left>
      <right style="hair">
        <color auto="1"/>
      </right>
      <top style="medium">
        <color indexed="64"/>
      </top>
      <bottom/>
      <diagonal/>
    </border>
    <border>
      <left style="hair">
        <color auto="1"/>
      </left>
      <right style="medium">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thin">
        <color indexed="64"/>
      </bottom>
      <diagonal/>
    </border>
    <border>
      <left/>
      <right style="medium">
        <color indexed="64"/>
      </right>
      <top/>
      <bottom style="thin">
        <color indexed="64"/>
      </bottom>
      <diagonal/>
    </border>
    <border>
      <left style="hair">
        <color indexed="64"/>
      </left>
      <right style="medium">
        <color indexed="64"/>
      </right>
      <top/>
      <bottom/>
      <diagonal/>
    </border>
    <border>
      <left style="hair">
        <color auto="1"/>
      </left>
      <right style="medium">
        <color indexed="64"/>
      </right>
      <top style="thick">
        <color indexed="64"/>
      </top>
      <bottom style="hair">
        <color auto="1"/>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thick">
        <color auto="1"/>
      </left>
      <right style="thick">
        <color auto="1"/>
      </right>
      <top style="hair">
        <color auto="1"/>
      </top>
      <bottom/>
      <diagonal/>
    </border>
    <border>
      <left style="thick">
        <color auto="1"/>
      </left>
      <right style="thick">
        <color auto="1"/>
      </right>
      <top/>
      <bottom style="hair">
        <color auto="1"/>
      </bottom>
      <diagonal/>
    </border>
    <border>
      <left style="thick">
        <color auto="1"/>
      </left>
      <right/>
      <top style="thick">
        <color auto="1"/>
      </top>
      <bottom style="thick">
        <color auto="1"/>
      </bottom>
      <diagonal/>
    </border>
    <border>
      <left style="hair">
        <color indexed="64"/>
      </left>
      <right style="medium">
        <color indexed="64"/>
      </right>
      <top style="thin">
        <color indexed="64"/>
      </top>
      <bottom/>
      <diagonal/>
    </border>
    <border>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right/>
      <top style="thin">
        <color auto="1"/>
      </top>
      <bottom style="hair">
        <color auto="1"/>
      </bottom>
      <diagonal/>
    </border>
    <border>
      <left style="hair">
        <color auto="1"/>
      </left>
      <right/>
      <top style="thin">
        <color auto="1"/>
      </top>
      <bottom style="hair">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hair">
        <color auto="1"/>
      </right>
      <top style="hair">
        <color auto="1"/>
      </top>
      <bottom style="thin">
        <color auto="1"/>
      </bottom>
      <diagonal/>
    </border>
    <border>
      <left style="hair">
        <color auto="1"/>
      </left>
      <right/>
      <top style="hair">
        <color auto="1"/>
      </top>
      <bottom style="thin">
        <color auto="1"/>
      </bottom>
      <diagonal/>
    </border>
    <border>
      <left/>
      <right/>
      <top/>
      <bottom style="double">
        <color rgb="FF3F8169"/>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style="medium">
        <color rgb="FFE41908"/>
      </right>
      <top/>
      <bottom style="medium">
        <color rgb="FFE41908"/>
      </bottom>
      <diagonal/>
    </border>
    <border>
      <left/>
      <right/>
      <top/>
      <bottom style="medium">
        <color rgb="FFE41908"/>
      </bottom>
      <diagonal/>
    </border>
    <border>
      <left style="medium">
        <color rgb="FFE41908"/>
      </left>
      <right/>
      <top/>
      <bottom style="medium">
        <color rgb="FFE41908"/>
      </bottom>
      <diagonal/>
    </border>
    <border>
      <left/>
      <right style="medium">
        <color rgb="FFE41908"/>
      </right>
      <top/>
      <bottom/>
      <diagonal/>
    </border>
    <border>
      <left style="medium">
        <color rgb="FFE41908"/>
      </left>
      <right/>
      <top/>
      <bottom/>
      <diagonal/>
    </border>
    <border>
      <left/>
      <right style="medium">
        <color rgb="FFE41908"/>
      </right>
      <top style="medium">
        <color rgb="FFE41908"/>
      </top>
      <bottom/>
      <diagonal/>
    </border>
    <border>
      <left/>
      <right/>
      <top style="medium">
        <color rgb="FFE41908"/>
      </top>
      <bottom/>
      <diagonal/>
    </border>
    <border>
      <left style="medium">
        <color rgb="FFE41908"/>
      </left>
      <right/>
      <top style="medium">
        <color rgb="FFE41908"/>
      </top>
      <bottom/>
      <diagonal/>
    </border>
    <border>
      <left style="thin">
        <color auto="1"/>
      </left>
      <right/>
      <top style="thin">
        <color auto="1"/>
      </top>
      <bottom/>
      <diagonal/>
    </border>
    <border>
      <left/>
      <right/>
      <top/>
      <bottom style="thin">
        <color indexed="8"/>
      </bottom>
      <diagonal/>
    </border>
    <border>
      <left/>
      <right/>
      <top/>
      <bottom style="double">
        <color indexed="8"/>
      </bottom>
      <diagonal/>
    </border>
    <border>
      <left/>
      <right/>
      <top style="double">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double">
        <color indexed="8"/>
      </bottom>
      <diagonal/>
    </border>
    <border>
      <left/>
      <right style="thin">
        <color indexed="8"/>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thin">
        <color indexed="8"/>
      </left>
      <right style="thin">
        <color indexed="8"/>
      </right>
      <top style="thin">
        <color indexed="8"/>
      </top>
      <bottom/>
      <diagonal/>
    </border>
    <border>
      <left/>
      <right style="thin">
        <color indexed="8"/>
      </right>
      <top style="double">
        <color indexed="8"/>
      </top>
      <bottom/>
      <diagonal/>
    </border>
    <border>
      <left style="thin">
        <color indexed="8"/>
      </left>
      <right style="thin">
        <color indexed="8"/>
      </right>
      <top/>
      <bottom/>
      <diagonal/>
    </border>
    <border>
      <left style="medium">
        <color auto="1"/>
      </left>
      <right style="hair">
        <color auto="1"/>
      </right>
      <top style="medium">
        <color auto="1"/>
      </top>
      <bottom/>
      <diagonal/>
    </border>
    <border>
      <left/>
      <right/>
      <top style="medium">
        <color auto="1"/>
      </top>
      <bottom/>
      <diagonal/>
    </border>
    <border>
      <left/>
      <right style="hair">
        <color auto="1"/>
      </right>
      <top style="medium">
        <color auto="1"/>
      </top>
      <bottom/>
      <diagonal/>
    </border>
    <border>
      <left style="medium">
        <color indexed="64"/>
      </left>
      <right style="thick">
        <color indexed="64"/>
      </right>
      <top style="hair">
        <color auto="1"/>
      </top>
      <bottom style="hair">
        <color auto="1"/>
      </bottom>
      <diagonal/>
    </border>
    <border>
      <left/>
      <right style="thick">
        <color indexed="64"/>
      </right>
      <top style="hair">
        <color auto="1"/>
      </top>
      <bottom/>
      <diagonal/>
    </border>
    <border>
      <left/>
      <right style="thick">
        <color indexed="64"/>
      </right>
      <top style="hair">
        <color auto="1"/>
      </top>
      <bottom style="hair">
        <color auto="1"/>
      </bottom>
      <diagonal/>
    </border>
    <border>
      <left/>
      <right/>
      <top style="thick">
        <color indexed="64"/>
      </top>
      <bottom/>
      <diagonal/>
    </border>
    <border>
      <left/>
      <right/>
      <top style="thick">
        <color indexed="64"/>
      </top>
      <bottom style="hair">
        <color auto="1"/>
      </bottom>
      <diagonal/>
    </border>
    <border>
      <left/>
      <right style="hair">
        <color auto="1"/>
      </right>
      <top style="thick">
        <color indexed="64"/>
      </top>
      <bottom style="hair">
        <color auto="1"/>
      </bottom>
      <diagonal/>
    </border>
    <border>
      <left/>
      <right/>
      <top style="hair">
        <color indexed="64"/>
      </top>
      <bottom/>
      <diagonal/>
    </border>
    <border>
      <left/>
      <right style="hair">
        <color indexed="64"/>
      </right>
      <top style="hair">
        <color indexed="64"/>
      </top>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thick">
        <color indexed="64"/>
      </bottom>
      <diagonal/>
    </border>
    <border>
      <left/>
      <right style="hair">
        <color indexed="64"/>
      </right>
      <top style="hair">
        <color indexed="64"/>
      </top>
      <bottom style="thick">
        <color indexed="64"/>
      </bottom>
      <diagonal/>
    </border>
    <border>
      <left/>
      <right style="hair">
        <color auto="1"/>
      </right>
      <top/>
      <bottom style="thin">
        <color indexed="64"/>
      </bottom>
      <diagonal/>
    </border>
    <border>
      <left style="medium">
        <color indexed="64"/>
      </left>
      <right style="hair">
        <color auto="1"/>
      </right>
      <top style="hair">
        <color auto="1"/>
      </top>
      <bottom style="thin">
        <color theme="1" tint="0.249977111117893"/>
      </bottom>
      <diagonal/>
    </border>
    <border>
      <left/>
      <right/>
      <top style="medium">
        <color indexed="64"/>
      </top>
      <bottom/>
      <diagonal/>
    </border>
    <border>
      <left/>
      <right style="hair">
        <color auto="1"/>
      </right>
      <top style="hair">
        <color auto="1"/>
      </top>
      <bottom style="medium">
        <color indexed="64"/>
      </bottom>
      <diagonal/>
    </border>
    <border>
      <left/>
      <right style="hair">
        <color indexed="64"/>
      </right>
      <top/>
      <bottom/>
      <diagonal/>
    </border>
    <border>
      <left/>
      <right style="hair">
        <color indexed="64"/>
      </right>
      <top/>
      <bottom style="hair">
        <color indexed="64"/>
      </bottom>
      <diagonal/>
    </border>
    <border>
      <left/>
      <right/>
      <top style="thin">
        <color indexed="64"/>
      </top>
      <bottom/>
      <diagonal/>
    </border>
    <border>
      <left/>
      <right style="hair">
        <color indexed="64"/>
      </right>
      <top style="thin">
        <color indexed="64"/>
      </top>
      <bottom/>
      <diagonal/>
    </border>
    <border>
      <left/>
      <right/>
      <top style="thin">
        <color indexed="64"/>
      </top>
      <bottom style="thin">
        <color indexed="64"/>
      </bottom>
      <diagonal/>
    </border>
    <border>
      <left/>
      <right style="hair">
        <color indexed="64"/>
      </right>
      <top style="thin">
        <color indexed="64"/>
      </top>
      <bottom style="thin">
        <color indexed="64"/>
      </bottom>
      <diagonal/>
    </border>
    <border>
      <left/>
      <right style="hair">
        <color auto="1"/>
      </right>
      <top style="thick">
        <color indexed="64"/>
      </top>
      <bottom style="thick">
        <color indexed="64"/>
      </bottom>
      <diagonal/>
    </border>
    <border>
      <left style="medium">
        <color auto="1"/>
      </left>
      <right style="hair">
        <color indexed="64"/>
      </right>
      <top/>
      <bottom style="thin">
        <color auto="1"/>
      </bottom>
      <diagonal/>
    </border>
    <border>
      <left/>
      <right style="hair">
        <color indexed="64"/>
      </right>
      <top/>
      <bottom style="thin">
        <color auto="1"/>
      </bottom>
      <diagonal/>
    </border>
    <border>
      <left style="hair">
        <color indexed="64"/>
      </left>
      <right style="medium">
        <color indexed="64"/>
      </right>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medium">
        <color indexed="64"/>
      </top>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auto="1"/>
      </left>
      <right style="medium">
        <color indexed="64"/>
      </right>
      <top/>
      <bottom style="medium">
        <color indexed="64"/>
      </bottom>
      <diagonal/>
    </border>
    <border>
      <left style="medium">
        <color auto="1"/>
      </left>
      <right/>
      <top/>
      <bottom style="medium">
        <color indexed="64"/>
      </bottom>
      <diagonal/>
    </border>
    <border>
      <left/>
      <right/>
      <top/>
      <bottom style="medium">
        <color indexed="64"/>
      </bottom>
      <diagonal/>
    </border>
    <border>
      <left/>
      <right style="hair">
        <color auto="1"/>
      </right>
      <top style="thin">
        <color auto="1"/>
      </top>
      <bottom/>
      <diagonal/>
    </border>
    <border>
      <left/>
      <right style="hair">
        <color auto="1"/>
      </right>
      <top style="thin">
        <color auto="1"/>
      </top>
      <bottom style="thin">
        <color auto="1"/>
      </bottom>
      <diagonal/>
    </border>
    <border>
      <left style="thin">
        <color auto="1"/>
      </left>
      <right/>
      <top/>
      <bottom style="hair">
        <color auto="1"/>
      </bottom>
      <diagonal/>
    </border>
    <border>
      <left style="hair">
        <color auto="1"/>
      </left>
      <right style="hair">
        <color auto="1"/>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right style="thin">
        <color auto="1"/>
      </right>
      <top style="hair">
        <color auto="1"/>
      </top>
      <bottom/>
      <diagonal/>
    </border>
    <border>
      <left style="thin">
        <color auto="1"/>
      </left>
      <right style="thin">
        <color auto="1"/>
      </right>
      <top style="hair">
        <color auto="1"/>
      </top>
      <bottom style="hair">
        <color auto="1"/>
      </bottom>
      <diagonal/>
    </border>
    <border>
      <left style="medium">
        <color rgb="FFE41908"/>
      </left>
      <right style="medium">
        <color rgb="FFE41908"/>
      </right>
      <top style="medium">
        <color rgb="FFE41908"/>
      </top>
      <bottom style="medium">
        <color rgb="FFE41908"/>
      </bottom>
      <diagonal/>
    </border>
    <border>
      <left/>
      <right/>
      <top style="thin">
        <color indexed="8"/>
      </top>
      <bottom/>
      <diagonal/>
    </border>
    <border>
      <left/>
      <right style="thin">
        <color indexed="8"/>
      </right>
      <top style="thin">
        <color indexed="8"/>
      </top>
      <bottom/>
      <diagonal/>
    </border>
  </borders>
  <cellStyleXfs count="7">
    <xf numFmtId="0" fontId="11" fillId="0" borderId="0" applyAlignment="1">
      <alignment vertical="center"/>
    </xf>
    <xf numFmtId="38" fontId="11" fillId="0" borderId="0" applyAlignment="1">
      <alignment vertical="center"/>
    </xf>
    <xf numFmtId="6" fontId="11" fillId="0" borderId="0" applyAlignment="1">
      <alignment vertical="center"/>
    </xf>
    <xf numFmtId="0" fontId="10" fillId="0" borderId="0"/>
    <xf numFmtId="38" fontId="10" fillId="0" borderId="0"/>
    <xf numFmtId="0" fontId="10" fillId="0" borderId="0" applyAlignment="1">
      <alignment vertical="center"/>
    </xf>
    <xf numFmtId="0" fontId="86" fillId="0" borderId="0" applyAlignment="1">
      <alignment vertical="center"/>
    </xf>
  </cellStyleXfs>
  <cellXfs count="903">
    <xf numFmtId="0" fontId="0" fillId="0" borderId="0" applyAlignment="1" pivotButton="0" quotePrefix="0" xfId="0">
      <alignment vertical="center"/>
    </xf>
    <xf numFmtId="0" fontId="1" fillId="0" borderId="0" applyAlignment="1" applyProtection="1" pivotButton="0" quotePrefix="0" xfId="0">
      <alignment vertical="center"/>
      <protection locked="0" hidden="0"/>
    </xf>
    <xf numFmtId="0" fontId="2" fillId="0" borderId="0" applyAlignment="1" applyProtection="1" pivotButton="0" quotePrefix="0" xfId="0">
      <alignment vertical="center"/>
      <protection locked="0" hidden="0"/>
    </xf>
    <xf numFmtId="0" fontId="3" fillId="0" borderId="0" applyAlignment="1" applyProtection="1" pivotButton="0" quotePrefix="0" xfId="0">
      <alignment vertical="center"/>
      <protection locked="0" hidden="0"/>
    </xf>
    <xf numFmtId="0" fontId="4" fillId="0" borderId="0" applyAlignment="1" applyProtection="1" pivotButton="0" quotePrefix="0" xfId="0">
      <alignment vertical="center"/>
      <protection locked="0" hidden="0"/>
    </xf>
    <xf numFmtId="0" fontId="5" fillId="0" borderId="0" applyAlignment="1" applyProtection="1" pivotButton="0" quotePrefix="0" xfId="0">
      <alignment vertical="center"/>
      <protection locked="0" hidden="0"/>
    </xf>
    <xf numFmtId="0" fontId="6" fillId="0" borderId="0" applyAlignment="1" applyProtection="1" pivotButton="0" quotePrefix="0" xfId="0">
      <alignment vertical="center"/>
      <protection locked="0" hidden="0"/>
    </xf>
    <xf numFmtId="0" fontId="0" fillId="0" borderId="0" pivotButton="0" quotePrefix="0" xfId="0"/>
    <xf numFmtId="0" fontId="13" fillId="0" borderId="0" applyAlignment="1" pivotButton="0" quotePrefix="0" xfId="0">
      <alignment vertical="center"/>
    </xf>
    <xf numFmtId="164" fontId="0" fillId="0" borderId="0" applyAlignment="1" pivotButton="0" quotePrefix="0" xfId="0">
      <alignment vertical="center"/>
    </xf>
    <xf numFmtId="165" fontId="0" fillId="0" borderId="0" applyAlignment="1" pivotButton="0" quotePrefix="0" xfId="0">
      <alignment vertical="center"/>
    </xf>
    <xf numFmtId="166" fontId="13" fillId="0" borderId="0" applyAlignment="1" pivotButton="0" quotePrefix="0" xfId="0">
      <alignment vertical="center"/>
    </xf>
    <xf numFmtId="166" fontId="0" fillId="0" borderId="0" applyAlignment="1" pivotButton="0" quotePrefix="0" xfId="0">
      <alignment vertical="center"/>
    </xf>
    <xf numFmtId="0" fontId="14" fillId="0" borderId="0" applyAlignment="1" pivotButton="0" quotePrefix="0" xfId="0">
      <alignment vertical="center"/>
    </xf>
    <xf numFmtId="0" fontId="0" fillId="0" borderId="13" applyAlignment="1" pivotButton="0" quotePrefix="0" xfId="0">
      <alignment vertical="center"/>
    </xf>
    <xf numFmtId="0" fontId="14" fillId="0" borderId="13" applyAlignment="1" pivotButton="0" quotePrefix="0" xfId="0">
      <alignment vertical="center"/>
    </xf>
    <xf numFmtId="0" fontId="0" fillId="0" borderId="15" applyAlignment="1" pivotButton="0" quotePrefix="0" xfId="0">
      <alignment vertical="center"/>
    </xf>
    <xf numFmtId="167" fontId="0" fillId="0" borderId="0" applyAlignment="1" pivotButton="0" quotePrefix="0" xfId="0">
      <alignment vertical="center"/>
    </xf>
    <xf numFmtId="0" fontId="0" fillId="0" borderId="0" applyAlignment="1" applyProtection="1" pivotButton="0" quotePrefix="0" xfId="0">
      <alignment vertical="center"/>
      <protection locked="0" hidden="0"/>
    </xf>
    <xf numFmtId="165" fontId="0" fillId="0" borderId="13" applyAlignment="1" applyProtection="1" pivotButton="0" quotePrefix="0" xfId="0">
      <alignment vertical="center"/>
      <protection locked="0" hidden="0"/>
    </xf>
    <xf numFmtId="165" fontId="0" fillId="0" borderId="0" applyAlignment="1" applyProtection="1" pivotButton="0" quotePrefix="0" xfId="0">
      <alignment vertical="center"/>
      <protection locked="0" hidden="0"/>
    </xf>
    <xf numFmtId="164" fontId="0" fillId="0" borderId="0" applyAlignment="1" applyProtection="1" pivotButton="0" quotePrefix="0" xfId="0">
      <alignment vertical="center"/>
      <protection locked="0" hidden="0"/>
    </xf>
    <xf numFmtId="0" fontId="0" fillId="0" borderId="13" applyAlignment="1" applyProtection="1" pivotButton="0" quotePrefix="0" xfId="0">
      <alignment vertical="center"/>
      <protection locked="0" hidden="0"/>
    </xf>
    <xf numFmtId="166" fontId="13" fillId="0" borderId="0" applyAlignment="1" applyProtection="1" pivotButton="0" quotePrefix="0" xfId="0">
      <alignment vertical="center"/>
      <protection locked="0" hidden="0"/>
    </xf>
    <xf numFmtId="0" fontId="14"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6" fontId="0" fillId="0" borderId="0" applyAlignment="1" applyProtection="1" pivotButton="0" quotePrefix="0" xfId="0">
      <alignment vertical="center"/>
      <protection locked="0" hidden="0"/>
    </xf>
    <xf numFmtId="167" fontId="0" fillId="0" borderId="13" applyAlignment="1" applyProtection="1" pivotButton="0" quotePrefix="0" xfId="0">
      <alignment vertical="center"/>
      <protection locked="0" hidden="0"/>
    </xf>
    <xf numFmtId="167" fontId="0" fillId="0" borderId="17" applyAlignment="1" applyProtection="1" pivotButton="0" quotePrefix="0" xfId="0">
      <alignment vertical="center"/>
      <protection locked="0" hidden="0"/>
    </xf>
    <xf numFmtId="0" fontId="14" fillId="0" borderId="40" applyAlignment="1" applyProtection="1" pivotButton="0" quotePrefix="0" xfId="0">
      <alignment vertical="center"/>
      <protection locked="0" hidden="0"/>
    </xf>
    <xf numFmtId="165" fontId="0" fillId="0" borderId="47" applyAlignment="1" applyProtection="1" pivotButton="0" quotePrefix="0" xfId="0">
      <alignment vertical="center"/>
      <protection locked="0" hidden="0"/>
    </xf>
    <xf numFmtId="165" fontId="0" fillId="0" borderId="48" applyAlignment="1" applyProtection="1" pivotButton="0" quotePrefix="0" xfId="0">
      <alignment vertical="center"/>
      <protection locked="0" hidden="0"/>
    </xf>
    <xf numFmtId="165" fontId="0" fillId="0" borderId="49" applyAlignment="1" applyProtection="1" pivotButton="0" quotePrefix="0" xfId="0">
      <alignment vertical="center"/>
      <protection locked="0" hidden="0"/>
    </xf>
    <xf numFmtId="165" fontId="0" fillId="0" borderId="24" applyAlignment="1" applyProtection="1" pivotButton="0" quotePrefix="0" xfId="0">
      <alignment vertical="center"/>
      <protection locked="0" hidden="0"/>
    </xf>
    <xf numFmtId="165" fontId="0" fillId="0" borderId="25" applyAlignment="1" applyProtection="1" pivotButton="0" quotePrefix="0" xfId="0">
      <alignment vertical="center"/>
      <protection locked="0" hidden="0"/>
    </xf>
    <xf numFmtId="165" fontId="0" fillId="0" borderId="26" applyAlignment="1" applyProtection="1" pivotButton="0" quotePrefix="0" xfId="0">
      <alignment vertical="center"/>
      <protection locked="0" hidden="0"/>
    </xf>
    <xf numFmtId="165" fontId="0" fillId="0" borderId="27" applyAlignment="1" applyProtection="1" pivotButton="0" quotePrefix="0" xfId="0">
      <alignment vertical="center"/>
      <protection locked="0" hidden="0"/>
    </xf>
    <xf numFmtId="165" fontId="0" fillId="0" borderId="28" applyAlignment="1" applyProtection="1" pivotButton="0" quotePrefix="0" xfId="0">
      <alignment vertical="center"/>
      <protection locked="0" hidden="0"/>
    </xf>
    <xf numFmtId="10" fontId="0" fillId="0" borderId="50" applyAlignment="1" applyProtection="1" pivotButton="0" quotePrefix="0" xfId="0">
      <alignment vertical="center"/>
      <protection locked="0" hidden="0"/>
    </xf>
    <xf numFmtId="10" fontId="0" fillId="0" borderId="51" applyAlignment="1" applyProtection="1" pivotButton="0" quotePrefix="0" xfId="0">
      <alignment vertical="center"/>
      <protection locked="0" hidden="0"/>
    </xf>
    <xf numFmtId="10" fontId="0" fillId="0" borderId="52" applyAlignment="1" applyProtection="1" pivotButton="0" quotePrefix="0" xfId="0">
      <alignment vertical="center"/>
      <protection locked="0" hidden="0"/>
    </xf>
    <xf numFmtId="165" fontId="14" fillId="0" borderId="50" applyAlignment="1" applyProtection="1" pivotButton="0" quotePrefix="0" xfId="0">
      <alignment vertical="center"/>
      <protection locked="0" hidden="0"/>
    </xf>
    <xf numFmtId="165" fontId="14" fillId="0" borderId="51" applyAlignment="1" applyProtection="1" pivotButton="0" quotePrefix="0" xfId="0">
      <alignment vertical="center"/>
      <protection locked="0" hidden="0"/>
    </xf>
    <xf numFmtId="165" fontId="14" fillId="0" borderId="52" applyAlignment="1" applyProtection="1" pivotButton="0" quotePrefix="0" xfId="0">
      <alignment vertical="center"/>
      <protection locked="0" hidden="0"/>
    </xf>
    <xf numFmtId="166" fontId="0" fillId="0" borderId="47" applyAlignment="1" applyProtection="1" pivotButton="0" quotePrefix="0" xfId="0">
      <alignment vertical="center"/>
      <protection locked="0" hidden="0"/>
    </xf>
    <xf numFmtId="166" fontId="0" fillId="0" borderId="48" applyAlignment="1" applyProtection="1" pivotButton="0" quotePrefix="0" xfId="0">
      <alignment vertical="center"/>
      <protection locked="0" hidden="0"/>
    </xf>
    <xf numFmtId="166" fontId="0" fillId="0" borderId="49" applyAlignment="1" applyProtection="1" pivotButton="0" quotePrefix="0" xfId="0">
      <alignment vertical="center"/>
      <protection locked="0" hidden="0"/>
    </xf>
    <xf numFmtId="166" fontId="0" fillId="0" borderId="26" applyAlignment="1" applyProtection="1" pivotButton="0" quotePrefix="0" xfId="0">
      <alignment vertical="center"/>
      <protection locked="0" hidden="0"/>
    </xf>
    <xf numFmtId="166" fontId="0" fillId="0" borderId="27" applyAlignment="1" applyProtection="1" pivotButton="0" quotePrefix="0" xfId="0">
      <alignment vertical="center"/>
      <protection locked="0" hidden="0"/>
    </xf>
    <xf numFmtId="166" fontId="0" fillId="0" borderId="28" applyAlignment="1" applyProtection="1" pivotButton="0" quotePrefix="0" xfId="0">
      <alignment vertical="center"/>
      <protection locked="0" hidden="0"/>
    </xf>
    <xf numFmtId="9" fontId="0" fillId="0" borderId="50" applyAlignment="1" applyProtection="1" pivotButton="0" quotePrefix="0" xfId="0">
      <alignment vertical="center"/>
      <protection locked="0" hidden="0"/>
    </xf>
    <xf numFmtId="9" fontId="0" fillId="0" borderId="51" applyAlignment="1" applyProtection="1" pivotButton="0" quotePrefix="0" xfId="0">
      <alignment vertical="center"/>
      <protection locked="0" hidden="0"/>
    </xf>
    <xf numFmtId="9" fontId="0" fillId="0" borderId="52" applyAlignment="1" applyProtection="1" pivotButton="0" quotePrefix="0" xfId="0">
      <alignment vertical="center"/>
      <protection locked="0" hidden="0"/>
    </xf>
    <xf numFmtId="0" fontId="0" fillId="0" borderId="64" applyAlignment="1" applyProtection="1" pivotButton="0" quotePrefix="0" xfId="0">
      <alignment vertical="center"/>
      <protection locked="0" hidden="0"/>
    </xf>
    <xf numFmtId="0" fontId="14" fillId="0" borderId="65" applyAlignment="1" applyProtection="1" pivotButton="0" quotePrefix="0" xfId="0">
      <alignment vertical="center"/>
      <protection locked="0" hidden="0"/>
    </xf>
    <xf numFmtId="0" fontId="0" fillId="0" borderId="64" applyAlignment="1" applyProtection="1" pivotButton="0" quotePrefix="0" xfId="0">
      <alignment horizontal="left" vertical="center"/>
      <protection locked="0" hidden="0"/>
    </xf>
    <xf numFmtId="0" fontId="14" fillId="0" borderId="65" applyAlignment="1" applyProtection="1" pivotButton="0" quotePrefix="0" xfId="0">
      <alignment horizontal="left" vertical="center"/>
      <protection locked="0" hidden="0"/>
    </xf>
    <xf numFmtId="167" fontId="0" fillId="0" borderId="51" applyAlignment="1" applyProtection="1" pivotButton="0" quotePrefix="0" xfId="0">
      <alignment vertical="center"/>
      <protection locked="0" hidden="0"/>
    </xf>
    <xf numFmtId="167" fontId="0" fillId="0" borderId="50" applyAlignment="1" applyProtection="1" pivotButton="0" quotePrefix="0" xfId="0">
      <alignment vertical="center"/>
      <protection locked="0" hidden="0"/>
    </xf>
    <xf numFmtId="167" fontId="0" fillId="0" borderId="25" applyAlignment="1" applyProtection="1" pivotButton="0" quotePrefix="0" xfId="0">
      <alignment vertical="center"/>
      <protection locked="0" hidden="0"/>
    </xf>
    <xf numFmtId="167" fontId="0" fillId="0" borderId="27" applyAlignment="1" applyProtection="1" pivotButton="0" quotePrefix="0" xfId="0">
      <alignment vertical="center"/>
      <protection locked="0" hidden="0"/>
    </xf>
    <xf numFmtId="167" fontId="0" fillId="0" borderId="28" applyAlignment="1" applyProtection="1" pivotButton="0" quotePrefix="0" xfId="0">
      <alignment vertical="center"/>
      <protection locked="0" hidden="0"/>
    </xf>
    <xf numFmtId="167" fontId="0" fillId="0" borderId="68" applyAlignment="1" applyProtection="1" pivotButton="0" quotePrefix="0" xfId="0">
      <alignment vertical="center"/>
      <protection locked="0" hidden="0"/>
    </xf>
    <xf numFmtId="167" fontId="0" fillId="0" borderId="72" applyAlignment="1" applyProtection="1" pivotButton="0" quotePrefix="0" xfId="0">
      <alignment vertical="center"/>
      <protection locked="0" hidden="0"/>
    </xf>
    <xf numFmtId="167" fontId="0" fillId="0" borderId="15" applyAlignment="1" applyProtection="1" pivotButton="0" quotePrefix="0" xfId="0">
      <alignment vertical="center"/>
      <protection locked="0" hidden="0"/>
    </xf>
    <xf numFmtId="167" fontId="0" fillId="0" borderId="73" applyAlignment="1" applyProtection="1" pivotButton="0" quotePrefix="0" xfId="0">
      <alignment vertical="center"/>
      <protection locked="0" hidden="0"/>
    </xf>
    <xf numFmtId="167" fontId="0" fillId="0" borderId="29" applyAlignment="1" applyProtection="1" pivotButton="0" quotePrefix="0" xfId="0">
      <alignment vertical="center"/>
      <protection locked="0" hidden="0"/>
    </xf>
    <xf numFmtId="0" fontId="0" fillId="0" borderId="25" applyAlignment="1" applyProtection="1" pivotButton="0" quotePrefix="0" xfId="0">
      <alignment vertical="center"/>
      <protection locked="0" hidden="0"/>
    </xf>
    <xf numFmtId="167" fontId="0" fillId="0" borderId="74" applyAlignment="1" applyProtection="1" pivotButton="0" quotePrefix="0" xfId="0">
      <alignment vertical="center"/>
      <protection locked="0" hidden="0"/>
    </xf>
    <xf numFmtId="167" fontId="0" fillId="0" borderId="19" applyAlignment="1" applyProtection="1" pivotButton="0" quotePrefix="0" xfId="0">
      <alignment vertical="center"/>
      <protection locked="0" hidden="0"/>
    </xf>
    <xf numFmtId="0" fontId="0" fillId="0" borderId="24" applyAlignment="1" applyProtection="1" pivotButton="0" quotePrefix="0" xfId="0">
      <alignment vertical="center"/>
      <protection locked="0" hidden="0"/>
    </xf>
    <xf numFmtId="167" fontId="0" fillId="0" borderId="75" applyAlignment="1" applyProtection="1" pivotButton="0" quotePrefix="0" xfId="0">
      <alignment vertical="center"/>
      <protection locked="0" hidden="0"/>
    </xf>
    <xf numFmtId="167" fontId="0" fillId="0" borderId="76" applyAlignment="1" applyProtection="1" pivotButton="0" quotePrefix="0" xfId="0">
      <alignment vertical="center"/>
      <protection locked="0" hidden="0"/>
    </xf>
    <xf numFmtId="0" fontId="0" fillId="0" borderId="32" applyAlignment="1" applyProtection="1" pivotButton="0" quotePrefix="0" xfId="0">
      <alignment vertical="center"/>
      <protection locked="0" hidden="0"/>
    </xf>
    <xf numFmtId="0" fontId="0" fillId="0" borderId="36" applyAlignment="1" pivotButton="0" quotePrefix="0" xfId="0">
      <alignment vertical="center"/>
    </xf>
    <xf numFmtId="0" fontId="0" fillId="0" borderId="44" applyAlignment="1" pivotButton="0" quotePrefix="0" xfId="0">
      <alignment vertical="center"/>
    </xf>
    <xf numFmtId="0" fontId="0" fillId="0" borderId="60" applyAlignment="1" pivotButton="0" quotePrefix="0" xfId="0">
      <alignment horizontal="center" vertical="center"/>
    </xf>
    <xf numFmtId="0" fontId="0" fillId="0" borderId="32" applyAlignment="1" pivotButton="0" quotePrefix="0" xfId="0">
      <alignment horizontal="center" vertical="center"/>
    </xf>
    <xf numFmtId="0" fontId="0" fillId="0" borderId="33" applyAlignment="1" pivotButton="0" quotePrefix="0" xfId="0">
      <alignment vertical="center"/>
    </xf>
    <xf numFmtId="0" fontId="14" fillId="0" borderId="53" applyAlignment="1" pivotButton="0" quotePrefix="0" xfId="0">
      <alignment vertical="center"/>
    </xf>
    <xf numFmtId="168" fontId="0" fillId="0" borderId="19" applyAlignment="1" pivotButton="0" quotePrefix="0" xfId="0">
      <alignment vertical="center"/>
    </xf>
    <xf numFmtId="165" fontId="0" fillId="0" borderId="15" applyAlignment="1" pivotButton="0" quotePrefix="0" xfId="0">
      <alignment vertical="center"/>
    </xf>
    <xf numFmtId="165" fontId="14" fillId="0" borderId="46" applyAlignment="1" pivotButton="0" quotePrefix="0" xfId="0">
      <alignment vertical="center"/>
    </xf>
    <xf numFmtId="165" fontId="0" fillId="0" borderId="13" applyAlignment="1" pivotButton="0" quotePrefix="0" xfId="0">
      <alignment vertical="center"/>
    </xf>
    <xf numFmtId="169" fontId="0" fillId="0" borderId="17" applyAlignment="1" pivotButton="0" quotePrefix="0" xfId="0">
      <alignment vertical="center"/>
    </xf>
    <xf numFmtId="165" fontId="14" fillId="0" borderId="40" applyAlignment="1" pivotButton="0" quotePrefix="0" xfId="0">
      <alignment vertical="center"/>
    </xf>
    <xf numFmtId="168" fontId="0" fillId="0" borderId="17" applyAlignment="1" pivotButton="0" quotePrefix="0" xfId="0">
      <alignment vertical="center"/>
    </xf>
    <xf numFmtId="169" fontId="0" fillId="0" borderId="43" applyAlignment="1" pivotButton="0" quotePrefix="0" xfId="0">
      <alignment vertical="center"/>
    </xf>
    <xf numFmtId="169" fontId="0" fillId="0" borderId="33" applyAlignment="1" pivotButton="0" quotePrefix="0" xfId="0">
      <alignment vertical="center"/>
    </xf>
    <xf numFmtId="169" fontId="0" fillId="0" borderId="13" applyAlignment="1" pivotButton="0" quotePrefix="0" xfId="0">
      <alignment vertical="center"/>
    </xf>
    <xf numFmtId="164" fontId="0" fillId="0" borderId="13" applyAlignment="1" pivotButton="0" quotePrefix="0" xfId="0">
      <alignment vertical="center"/>
    </xf>
    <xf numFmtId="164" fontId="14" fillId="0" borderId="40" applyAlignment="1" pivotButton="0" quotePrefix="0" xfId="0">
      <alignment vertical="center"/>
    </xf>
    <xf numFmtId="170" fontId="0" fillId="0" borderId="17" applyAlignment="1" pivotButton="0" quotePrefix="0" xfId="0">
      <alignment vertical="center"/>
    </xf>
    <xf numFmtId="0" fontId="14" fillId="0" borderId="40" applyAlignment="1" pivotButton="0" quotePrefix="0" xfId="0">
      <alignment vertical="center"/>
    </xf>
    <xf numFmtId="169" fontId="13" fillId="0" borderId="43" applyAlignment="1" pivotButton="0" quotePrefix="0" xfId="0">
      <alignment vertical="center"/>
    </xf>
    <xf numFmtId="169" fontId="13" fillId="0" borderId="33" applyAlignment="1" pivotButton="0" quotePrefix="0" xfId="0">
      <alignment vertical="center"/>
    </xf>
    <xf numFmtId="169" fontId="13" fillId="0" borderId="13" applyAlignment="1" pivotButton="0" quotePrefix="0" xfId="0">
      <alignment vertical="center"/>
    </xf>
    <xf numFmtId="166" fontId="13" fillId="0" borderId="13" applyAlignment="1" pivotButton="0" quotePrefix="0" xfId="0">
      <alignment vertical="center"/>
    </xf>
    <xf numFmtId="166" fontId="14" fillId="2" borderId="40" applyAlignment="1" pivotButton="0" quotePrefix="0" xfId="0">
      <alignment vertical="center"/>
    </xf>
    <xf numFmtId="168" fontId="14" fillId="0" borderId="17" applyAlignment="1" pivotButton="0" quotePrefix="0" xfId="0">
      <alignment vertical="center"/>
    </xf>
    <xf numFmtId="165" fontId="13" fillId="0" borderId="19" applyAlignment="1" pivotButton="0" quotePrefix="0" xfId="0">
      <alignment vertical="center"/>
    </xf>
    <xf numFmtId="165" fontId="13" fillId="0" borderId="15" applyAlignment="1" pivotButton="0" quotePrefix="0" xfId="0">
      <alignment vertical="center"/>
    </xf>
    <xf numFmtId="0" fontId="13" fillId="0" borderId="13" applyAlignment="1" pivotButton="0" quotePrefix="0" xfId="0">
      <alignment vertical="center"/>
    </xf>
    <xf numFmtId="0" fontId="13" fillId="0" borderId="40" applyAlignment="1" pivotButton="0" quotePrefix="0" xfId="0">
      <alignment vertical="center"/>
    </xf>
    <xf numFmtId="0" fontId="14" fillId="0" borderId="18" applyAlignment="1" pivotButton="0" quotePrefix="0" xfId="0">
      <alignment vertical="center"/>
    </xf>
    <xf numFmtId="0" fontId="14" fillId="0" borderId="20" applyAlignment="1" pivotButton="0" quotePrefix="0" xfId="0">
      <alignment vertical="center"/>
    </xf>
    <xf numFmtId="0" fontId="14" fillId="0" borderId="56" applyAlignment="1" pivotButton="0" quotePrefix="0" xfId="0">
      <alignment vertical="center"/>
    </xf>
    <xf numFmtId="169" fontId="0" fillId="0" borderId="59" applyAlignment="1" pivotButton="0" quotePrefix="0" xfId="0">
      <alignment vertical="center"/>
    </xf>
    <xf numFmtId="166" fontId="0" fillId="0" borderId="37" applyAlignment="1" pivotButton="0" quotePrefix="0" xfId="0">
      <alignment vertical="center"/>
    </xf>
    <xf numFmtId="166" fontId="14" fillId="0" borderId="38" applyAlignment="1" pivotButton="0" quotePrefix="0" xfId="0">
      <alignment vertical="center"/>
    </xf>
    <xf numFmtId="171" fontId="0" fillId="0" borderId="17" applyAlignment="1" pivotButton="0" quotePrefix="0" xfId="0">
      <alignment vertical="center"/>
    </xf>
    <xf numFmtId="166" fontId="0" fillId="0" borderId="13" applyAlignment="1" pivotButton="0" quotePrefix="0" xfId="0">
      <alignment vertical="center"/>
    </xf>
    <xf numFmtId="166" fontId="14" fillId="0" borderId="40" applyAlignment="1" pivotButton="0" quotePrefix="0" xfId="0">
      <alignment vertical="center"/>
    </xf>
    <xf numFmtId="169" fontId="0" fillId="0" borderId="15" applyAlignment="1" pivotButton="0" quotePrefix="0" xfId="0">
      <alignment vertical="center"/>
    </xf>
    <xf numFmtId="168" fontId="0" fillId="0" borderId="13" applyAlignment="1" pivotButton="0" quotePrefix="0" xfId="0">
      <alignment vertical="center"/>
    </xf>
    <xf numFmtId="166" fontId="0" fillId="0" borderId="20" applyAlignment="1" pivotButton="0" quotePrefix="0" xfId="0">
      <alignment horizontal="center" vertical="center"/>
    </xf>
    <xf numFmtId="0" fontId="14" fillId="0" borderId="54" applyAlignment="1" pivotButton="0" quotePrefix="0" xfId="0">
      <alignment horizontal="center" vertical="center"/>
    </xf>
    <xf numFmtId="169" fontId="13" fillId="0" borderId="22" applyAlignment="1" pivotButton="0" quotePrefix="0" xfId="0">
      <alignment vertical="center"/>
    </xf>
    <xf numFmtId="0" fontId="13" fillId="0" borderId="22" applyAlignment="1" pivotButton="0" quotePrefix="0" xfId="0">
      <alignment vertical="center"/>
    </xf>
    <xf numFmtId="0" fontId="14" fillId="2" borderId="62" applyAlignment="1" pivotButton="0" quotePrefix="0" xfId="0">
      <alignment vertical="center"/>
    </xf>
    <xf numFmtId="0" fontId="14" fillId="0" borderId="14" applyAlignment="1" pivotButton="0" quotePrefix="0" xfId="0">
      <alignment vertical="center"/>
    </xf>
    <xf numFmtId="0" fontId="14" fillId="0" borderId="42" applyAlignment="1" pivotButton="0" quotePrefix="0" xfId="0">
      <alignment vertical="center"/>
    </xf>
    <xf numFmtId="0" fontId="16" fillId="0" borderId="37" applyAlignment="1" pivotButton="0" quotePrefix="0" xfId="0">
      <alignment horizontal="center" vertical="center"/>
    </xf>
    <xf numFmtId="169" fontId="15" fillId="0" borderId="37" applyAlignment="1" pivotButton="0" quotePrefix="0" xfId="0">
      <alignment vertical="center"/>
    </xf>
    <xf numFmtId="0" fontId="15" fillId="0" borderId="37" applyAlignment="1" pivotButton="0" quotePrefix="0" xfId="0">
      <alignment vertical="center"/>
    </xf>
    <xf numFmtId="0" fontId="14" fillId="2" borderId="38" applyAlignment="1" pivotButton="0" quotePrefix="0" xfId="0">
      <alignment vertical="center"/>
    </xf>
    <xf numFmtId="0" fontId="16" fillId="0" borderId="20" applyAlignment="1" pivotButton="0" quotePrefix="0" xfId="0">
      <alignment horizontal="center" vertical="center"/>
    </xf>
    <xf numFmtId="169" fontId="13" fillId="0" borderId="20" applyAlignment="1" pivotButton="0" quotePrefix="0" xfId="0">
      <alignment vertical="center"/>
    </xf>
    <xf numFmtId="0" fontId="13" fillId="0" borderId="20" applyAlignment="1" pivotButton="0" quotePrefix="0" xfId="0">
      <alignment vertical="center"/>
    </xf>
    <xf numFmtId="0" fontId="14" fillId="2" borderId="56" applyAlignment="1" pivotButton="0" quotePrefix="0" xfId="0">
      <alignment vertical="center"/>
    </xf>
    <xf numFmtId="0" fontId="0" fillId="0" borderId="58" applyAlignment="1" pivotButton="0" quotePrefix="0" xfId="0">
      <alignment vertical="center"/>
    </xf>
    <xf numFmtId="0" fontId="0" fillId="0" borderId="37" applyAlignment="1" pivotButton="0" quotePrefix="0" xfId="0">
      <alignment vertical="center"/>
    </xf>
    <xf numFmtId="0" fontId="14" fillId="0" borderId="38" applyAlignment="1" pivotButton="0" quotePrefix="0" xfId="0">
      <alignment vertical="center"/>
    </xf>
    <xf numFmtId="0" fontId="14" fillId="0" borderId="16" applyAlignment="1" pivotButton="0" quotePrefix="0" xfId="0">
      <alignment vertical="center"/>
    </xf>
    <xf numFmtId="0" fontId="14" fillId="0" borderId="32" applyAlignment="1" pivotButton="0" quotePrefix="0" xfId="0">
      <alignment vertical="center"/>
    </xf>
    <xf numFmtId="169" fontId="14" fillId="0" borderId="17" applyAlignment="1" pivotButton="0" quotePrefix="0" xfId="0">
      <alignment vertical="center"/>
    </xf>
    <xf numFmtId="0" fontId="14" fillId="0" borderId="66" applyAlignment="1" pivotButton="0" quotePrefix="0" xfId="0">
      <alignment vertical="center"/>
    </xf>
    <xf numFmtId="0" fontId="14" fillId="0" borderId="23" applyAlignment="1" pivotButton="0" quotePrefix="0" xfId="0">
      <alignment vertical="center"/>
    </xf>
    <xf numFmtId="169" fontId="0" fillId="0" borderId="69" applyAlignment="1" pivotButton="0" quotePrefix="0" xfId="0">
      <alignment vertical="center"/>
    </xf>
    <xf numFmtId="0" fontId="0" fillId="0" borderId="14" applyAlignment="1" pivotButton="0" quotePrefix="0" xfId="0">
      <alignment vertical="center"/>
    </xf>
    <xf numFmtId="0" fontId="0" fillId="0" borderId="52" applyAlignment="1" pivotButton="0" quotePrefix="0" xfId="0">
      <alignment vertical="center"/>
    </xf>
    <xf numFmtId="0" fontId="0" fillId="0" borderId="50" applyAlignment="1" pivotButton="0" quotePrefix="0" xfId="0">
      <alignment vertical="center"/>
    </xf>
    <xf numFmtId="0" fontId="0" fillId="2" borderId="51" applyAlignment="1" pivotButton="0" quotePrefix="0" xfId="0">
      <alignment vertical="center"/>
    </xf>
    <xf numFmtId="0" fontId="19" fillId="0" borderId="42" applyAlignment="1" pivotButton="0" quotePrefix="0" xfId="0">
      <alignment vertical="center"/>
    </xf>
    <xf numFmtId="0" fontId="0" fillId="0" borderId="13" applyAlignment="1" applyProtection="1" pivotButton="0" quotePrefix="0" xfId="0">
      <alignment horizontal="left" vertical="center"/>
      <protection locked="0" hidden="0"/>
    </xf>
    <xf numFmtId="0" fontId="14" fillId="0" borderId="25" applyAlignment="1" applyProtection="1" pivotButton="0" quotePrefix="0" xfId="0">
      <alignment vertical="center"/>
      <protection locked="0" hidden="0"/>
    </xf>
    <xf numFmtId="0" fontId="23" fillId="0" borderId="13" applyAlignment="1" applyProtection="1" pivotButton="0" quotePrefix="0" xfId="0">
      <alignment horizontal="left" vertical="center"/>
      <protection locked="0" hidden="0"/>
    </xf>
    <xf numFmtId="0" fontId="0" fillId="0" borderId="27" applyAlignment="1" applyProtection="1" pivotButton="0" quotePrefix="0" xfId="0">
      <alignment vertical="center"/>
      <protection locked="0" hidden="0"/>
    </xf>
    <xf numFmtId="0" fontId="0" fillId="0" borderId="65" applyAlignment="1" applyProtection="1" pivotButton="0" quotePrefix="0" xfId="0">
      <alignment horizontal="left" vertical="center"/>
      <protection locked="0" hidden="0"/>
    </xf>
    <xf numFmtId="0" fontId="25" fillId="0" borderId="65" applyAlignment="1" applyProtection="1" pivotButton="0" quotePrefix="0" xfId="0">
      <alignment vertical="center"/>
      <protection locked="0" hidden="0"/>
    </xf>
    <xf numFmtId="0" fontId="23" fillId="0" borderId="65" applyAlignment="1" applyProtection="1" pivotButton="0" quotePrefix="0" xfId="0">
      <alignment horizontal="left" vertical="center"/>
      <protection locked="0" hidden="0"/>
    </xf>
    <xf numFmtId="0" fontId="14" fillId="0" borderId="64" applyAlignment="1" applyProtection="1" pivotButton="0" quotePrefix="0" xfId="0">
      <alignment vertical="center"/>
      <protection locked="0" hidden="0"/>
    </xf>
    <xf numFmtId="0" fontId="0" fillId="0" borderId="47" applyAlignment="1" applyProtection="1" pivotButton="0" quotePrefix="0" xfId="0">
      <alignment vertical="center"/>
      <protection locked="0" hidden="0"/>
    </xf>
    <xf numFmtId="0" fontId="0" fillId="0" borderId="49" applyAlignment="1" applyProtection="1" pivotButton="0" quotePrefix="0" xfId="0">
      <alignment vertical="center"/>
      <protection locked="0" hidden="0"/>
    </xf>
    <xf numFmtId="0" fontId="0" fillId="0" borderId="26" applyAlignment="1" applyProtection="1" pivotButton="0" quotePrefix="0" xfId="0">
      <alignment vertical="center"/>
      <protection locked="0" hidden="0"/>
    </xf>
    <xf numFmtId="0" fontId="0" fillId="0" borderId="28" applyAlignment="1" applyProtection="1" pivotButton="0" quotePrefix="0" xfId="0">
      <alignment vertical="center"/>
      <protection locked="0" hidden="0"/>
    </xf>
    <xf numFmtId="0" fontId="0" fillId="0" borderId="16" applyAlignment="1" pivotButton="0" quotePrefix="0" xfId="0">
      <alignment vertical="center"/>
    </xf>
    <xf numFmtId="0" fontId="0" fillId="0" borderId="48" applyAlignment="1" applyProtection="1" pivotButton="0" quotePrefix="0" xfId="0">
      <alignment vertical="center"/>
      <protection locked="0" hidden="0"/>
    </xf>
    <xf numFmtId="0" fontId="14" fillId="0" borderId="49" applyAlignment="1" applyProtection="1" pivotButton="0" quotePrefix="0" xfId="0">
      <alignment vertical="center"/>
      <protection locked="0" hidden="0"/>
    </xf>
    <xf numFmtId="0" fontId="14" fillId="0" borderId="28" applyAlignment="1" applyProtection="1" pivotButton="0" quotePrefix="0" xfId="0">
      <alignment vertical="center"/>
      <protection locked="0" hidden="0"/>
    </xf>
    <xf numFmtId="0" fontId="14" fillId="0" borderId="15" applyAlignment="1" pivotButton="0" quotePrefix="0" xfId="0">
      <alignment vertical="center"/>
    </xf>
    <xf numFmtId="0" fontId="14" fillId="0" borderId="90" applyAlignment="1" pivotButton="0" quotePrefix="0" xfId="0">
      <alignment vertical="center"/>
    </xf>
    <xf numFmtId="0" fontId="14" fillId="0" borderId="91" applyAlignment="1" applyProtection="1" pivotButton="0" quotePrefix="0" xfId="0">
      <alignment vertical="center"/>
      <protection locked="0" hidden="0"/>
    </xf>
    <xf numFmtId="0" fontId="19" fillId="0" borderId="40" applyAlignment="1" pivotButton="0" quotePrefix="0" xfId="0">
      <alignment vertical="center"/>
    </xf>
    <xf numFmtId="169" fontId="0" fillId="0" borderId="18" applyAlignment="1" pivotButton="0" quotePrefix="0" xfId="0">
      <alignment vertical="center"/>
    </xf>
    <xf numFmtId="0" fontId="0" fillId="0" borderId="20" applyAlignment="1" pivotButton="0" quotePrefix="0" xfId="0">
      <alignment vertical="center"/>
    </xf>
    <xf numFmtId="0" fontId="0" fillId="0" borderId="48" applyAlignment="1" applyProtection="1" pivotButton="0" quotePrefix="0" xfId="0">
      <alignment horizontal="left" vertical="center"/>
      <protection locked="0" hidden="0"/>
    </xf>
    <xf numFmtId="0" fontId="0" fillId="0" borderId="98" applyAlignment="1" applyProtection="1" pivotButton="0" quotePrefix="0" xfId="0">
      <alignment horizontal="left" vertical="center"/>
      <protection locked="0" hidden="0"/>
    </xf>
    <xf numFmtId="0" fontId="14" fillId="0" borderId="98" applyAlignment="1" applyProtection="1" pivotButton="0" quotePrefix="0" xfId="0">
      <alignment vertical="center"/>
      <protection locked="0" hidden="0"/>
    </xf>
    <xf numFmtId="0" fontId="25" fillId="0" borderId="99" applyAlignment="1" applyProtection="1" pivotButton="0" quotePrefix="0" xfId="0">
      <alignment vertical="center"/>
      <protection locked="0" hidden="0"/>
    </xf>
    <xf numFmtId="0" fontId="0" fillId="0" borderId="60" applyAlignment="1" pivotButton="0" quotePrefix="0" xfId="0">
      <alignment horizontal="left" vertical="center"/>
    </xf>
    <xf numFmtId="0" fontId="23" fillId="0" borderId="40" applyAlignment="1" applyProtection="1" pivotButton="0" quotePrefix="0" xfId="0">
      <alignment horizontal="left" vertical="center"/>
      <protection locked="0" hidden="0"/>
    </xf>
    <xf numFmtId="0" fontId="19" fillId="0" borderId="48" applyAlignment="1" pivotButton="0" quotePrefix="0" xfId="0">
      <alignment vertical="center"/>
    </xf>
    <xf numFmtId="0" fontId="19" fillId="0" borderId="15" applyAlignment="1" pivotButton="0" quotePrefix="0" xfId="0">
      <alignment vertical="center"/>
    </xf>
    <xf numFmtId="0" fontId="28" fillId="0" borderId="65" applyAlignment="1" applyProtection="1" pivotButton="0" quotePrefix="0" xfId="0">
      <alignment vertical="center"/>
      <protection locked="0" hidden="0"/>
    </xf>
    <xf numFmtId="0" fontId="28" fillId="0" borderId="82" applyAlignment="1" applyProtection="1" pivotButton="0" quotePrefix="0" xfId="0">
      <alignment vertical="center"/>
      <protection locked="0" hidden="0"/>
    </xf>
    <xf numFmtId="0" fontId="19" fillId="0" borderId="46" applyAlignment="1" pivotButton="0" quotePrefix="0" xfId="0">
      <alignment vertical="center"/>
    </xf>
    <xf numFmtId="0" fontId="19" fillId="0" borderId="20" applyAlignment="1" pivotButton="0" quotePrefix="0" xfId="0">
      <alignment vertical="center"/>
    </xf>
    <xf numFmtId="0" fontId="18" fillId="0" borderId="17" applyAlignment="1" pivotButton="0" quotePrefix="0" xfId="0">
      <alignment horizontal="center" vertical="center"/>
    </xf>
    <xf numFmtId="0" fontId="0" fillId="0" borderId="0" applyProtection="1" pivotButton="0" quotePrefix="0" xfId="0">
      <protection locked="0" hidden="0"/>
    </xf>
    <xf numFmtId="0" fontId="2" fillId="0" borderId="0" applyAlignment="1" applyProtection="1" pivotButton="0" quotePrefix="0" xfId="0">
      <alignment horizontal="left" vertical="center"/>
      <protection locked="0" hidden="0"/>
    </xf>
    <xf numFmtId="0" fontId="5" fillId="0" borderId="0" applyAlignment="1" applyProtection="1" pivotButton="0" quotePrefix="0" xfId="0">
      <alignment horizontal="left" vertical="center"/>
      <protection locked="0" hidden="0"/>
    </xf>
    <xf numFmtId="0" fontId="6" fillId="0" borderId="0" applyAlignment="1" applyProtection="1" pivotButton="0" quotePrefix="0" xfId="0">
      <alignment horizontal="left" vertical="center"/>
      <protection locked="0" hidden="0"/>
    </xf>
    <xf numFmtId="0" fontId="1" fillId="0" borderId="0" applyAlignment="1" applyProtection="1" pivotButton="0" quotePrefix="0" xfId="0">
      <alignment horizontal="left" vertical="center"/>
      <protection locked="0" hidden="0"/>
    </xf>
    <xf numFmtId="0" fontId="31" fillId="0" borderId="0" applyAlignment="1" applyProtection="1" pivotButton="0" quotePrefix="0" xfId="0">
      <alignment horizontal="left" vertical="center"/>
      <protection locked="0" hidden="0"/>
    </xf>
    <xf numFmtId="167" fontId="14" fillId="0" borderId="0" applyAlignment="1" pivotButton="0" quotePrefix="0" xfId="0">
      <alignment vertical="center"/>
    </xf>
    <xf numFmtId="0" fontId="32" fillId="0" borderId="0" applyAlignment="1" pivotButton="0" quotePrefix="0" xfId="0">
      <alignment vertical="center"/>
    </xf>
    <xf numFmtId="2" fontId="32" fillId="0" borderId="0" applyAlignment="1" pivotButton="0" quotePrefix="0" xfId="0">
      <alignment vertical="center"/>
    </xf>
    <xf numFmtId="169" fontId="0" fillId="0" borderId="50" applyAlignment="1" pivotButton="0" quotePrefix="0" xfId="0">
      <alignment horizontal="left" vertical="center"/>
    </xf>
    <xf numFmtId="167" fontId="0" fillId="0" borderId="100" applyAlignment="1" applyProtection="1" pivotButton="0" quotePrefix="0" xfId="0">
      <alignment horizontal="left" vertical="center"/>
      <protection locked="0" hidden="0"/>
    </xf>
    <xf numFmtId="0" fontId="28" fillId="0" borderId="98" applyAlignment="1" applyProtection="1" pivotButton="0" quotePrefix="0" xfId="0">
      <alignment vertical="center"/>
      <protection locked="0" hidden="0"/>
    </xf>
    <xf numFmtId="0" fontId="33" fillId="0" borderId="0" applyAlignment="1" pivotButton="0" quotePrefix="0" xfId="0">
      <alignment vertical="center"/>
    </xf>
    <xf numFmtId="2" fontId="14" fillId="0" borderId="0" applyAlignment="1" pivotButton="0" quotePrefix="0" xfId="0">
      <alignment vertical="center"/>
    </xf>
    <xf numFmtId="165" fontId="33" fillId="0" borderId="0" applyAlignment="1" pivotButton="0" quotePrefix="0" xfId="0">
      <alignment vertical="center"/>
    </xf>
    <xf numFmtId="165" fontId="14" fillId="0" borderId="0" applyAlignment="1" pivotButton="0" quotePrefix="0" xfId="0">
      <alignment vertical="center"/>
    </xf>
    <xf numFmtId="164" fontId="33" fillId="0" borderId="0" applyAlignment="1" pivotButton="0" quotePrefix="0" xfId="0">
      <alignment vertical="center"/>
    </xf>
    <xf numFmtId="164" fontId="14" fillId="0" borderId="0" applyAlignment="1" pivotButton="0" quotePrefix="0" xfId="0">
      <alignment vertical="center"/>
    </xf>
    <xf numFmtId="166" fontId="33" fillId="0" borderId="0" applyAlignment="1" pivotButton="0" quotePrefix="0" xfId="0">
      <alignment vertical="center"/>
    </xf>
    <xf numFmtId="166" fontId="14" fillId="0" borderId="0" applyAlignment="1" pivotButton="0" quotePrefix="0" xfId="0">
      <alignment vertical="center"/>
    </xf>
    <xf numFmtId="0" fontId="34" fillId="0" borderId="0" applyAlignment="1" applyProtection="1" pivotButton="0" quotePrefix="0" xfId="0">
      <alignment horizontal="center" vertical="center"/>
      <protection locked="0" hidden="0"/>
    </xf>
    <xf numFmtId="0" fontId="35" fillId="0" borderId="0" applyAlignment="1" applyProtection="1" pivotButton="0" quotePrefix="0" xfId="0">
      <alignment horizontal="center" vertical="center"/>
      <protection locked="0" hidden="0"/>
    </xf>
    <xf numFmtId="0" fontId="32" fillId="0" borderId="0" applyAlignment="1" applyProtection="1" pivotButton="0" quotePrefix="0" xfId="0">
      <alignment vertical="center"/>
      <protection locked="0" hidden="0"/>
    </xf>
    <xf numFmtId="0" fontId="32" fillId="0" borderId="0" applyAlignment="1" pivotButton="0" quotePrefix="0" xfId="0">
      <alignment horizontal="center" vertical="center"/>
    </xf>
    <xf numFmtId="0" fontId="8" fillId="0" borderId="0" applyAlignment="1" applyProtection="1" pivotButton="0" quotePrefix="0" xfId="0">
      <alignment vertical="center"/>
      <protection locked="0" hidden="0"/>
    </xf>
    <xf numFmtId="0" fontId="9" fillId="0" borderId="0" applyAlignment="1" applyProtection="1" pivotButton="0" quotePrefix="0" xfId="0">
      <alignment vertical="center"/>
      <protection locked="0" hidden="0"/>
    </xf>
    <xf numFmtId="0" fontId="7" fillId="0" borderId="0"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0" fontId="34" fillId="0" borderId="0" applyAlignment="1" pivotButton="0" quotePrefix="0" xfId="0">
      <alignment horizontal="center" vertical="center"/>
    </xf>
    <xf numFmtId="0" fontId="0" fillId="0" borderId="1" applyAlignment="1" pivotButton="0" quotePrefix="0" xfId="0">
      <alignment vertical="center"/>
    </xf>
    <xf numFmtId="0" fontId="1" fillId="0" borderId="0" applyAlignment="1" pivotButton="0" quotePrefix="0" xfId="0">
      <alignment vertical="center"/>
    </xf>
    <xf numFmtId="0" fontId="0" fillId="0" borderId="1" applyAlignment="1" pivotButton="0" quotePrefix="0" xfId="0">
      <alignment vertical="center" wrapText="1"/>
    </xf>
    <xf numFmtId="172" fontId="4" fillId="0" borderId="2" applyAlignment="1" pivotButton="0" quotePrefix="0" xfId="0">
      <alignment horizontal="center" vertical="center"/>
    </xf>
    <xf numFmtId="0" fontId="36" fillId="0" borderId="0" applyAlignment="1" applyProtection="1" pivotButton="0" quotePrefix="0" xfId="0">
      <alignment vertical="center"/>
      <protection locked="0" hidden="0"/>
    </xf>
    <xf numFmtId="0" fontId="38" fillId="0" borderId="0" applyAlignment="1" applyProtection="1" pivotButton="0" quotePrefix="0" xfId="0">
      <alignment vertical="center"/>
      <protection locked="0" hidden="0"/>
    </xf>
    <xf numFmtId="0" fontId="39" fillId="0" borderId="0" applyAlignment="1" applyProtection="1" pivotButton="0" quotePrefix="0" xfId="0">
      <alignment vertical="center"/>
      <protection locked="0" hidden="0"/>
    </xf>
    <xf numFmtId="0" fontId="39" fillId="0" borderId="0" applyAlignment="1" applyProtection="1" pivotButton="0" quotePrefix="0" xfId="0">
      <alignment horizontal="center" vertical="center"/>
      <protection locked="0" hidden="0"/>
    </xf>
    <xf numFmtId="0" fontId="41" fillId="0" borderId="0" applyAlignment="1" applyProtection="1" pivotButton="0" quotePrefix="0" xfId="0">
      <alignment vertical="center"/>
      <protection locked="0" hidden="0"/>
    </xf>
    <xf numFmtId="0" fontId="41" fillId="0" borderId="15" applyAlignment="1" applyProtection="1" pivotButton="0" quotePrefix="0" xfId="0">
      <alignment horizontal="center" vertical="center"/>
      <protection locked="0" hidden="0"/>
    </xf>
    <xf numFmtId="173" fontId="41" fillId="0" borderId="15" applyAlignment="1" applyProtection="1" pivotButton="0" quotePrefix="0" xfId="0">
      <alignment horizontal="center" vertical="center"/>
      <protection locked="0" hidden="0"/>
    </xf>
    <xf numFmtId="174" fontId="41" fillId="0" borderId="123" applyAlignment="1" pivotButton="0" quotePrefix="0" xfId="0">
      <alignment horizontal="center" vertical="center"/>
    </xf>
    <xf numFmtId="0" fontId="41" fillId="0" borderId="13" applyAlignment="1" applyProtection="1" pivotButton="0" quotePrefix="0" xfId="0">
      <alignment horizontal="center" vertical="center"/>
      <protection locked="0" hidden="0"/>
    </xf>
    <xf numFmtId="173" fontId="41" fillId="0" borderId="13" applyAlignment="1" applyProtection="1" pivotButton="0" quotePrefix="0" xfId="0">
      <alignment horizontal="center" vertical="center"/>
      <protection locked="0" hidden="0"/>
    </xf>
    <xf numFmtId="174" fontId="41" fillId="0" borderId="30" applyAlignment="1" pivotButton="0" quotePrefix="0" xfId="0">
      <alignment horizontal="center" vertical="center"/>
    </xf>
    <xf numFmtId="0" fontId="41" fillId="0" borderId="80" applyAlignment="1" applyProtection="1" pivotButton="0" quotePrefix="0" xfId="0">
      <alignment horizontal="center" vertical="center"/>
      <protection locked="0" hidden="0"/>
    </xf>
    <xf numFmtId="173" fontId="41" fillId="0" borderId="80" applyAlignment="1" applyProtection="1" pivotButton="0" quotePrefix="0" xfId="0">
      <alignment horizontal="center" vertical="center"/>
      <protection locked="0" hidden="0"/>
    </xf>
    <xf numFmtId="174" fontId="41" fillId="0" borderId="121" applyAlignment="1" pivotButton="0" quotePrefix="0" xfId="0">
      <alignment horizontal="center" vertical="center"/>
    </xf>
    <xf numFmtId="0" fontId="41" fillId="0" borderId="0" applyAlignment="1" pivotButton="0" quotePrefix="0" xfId="0">
      <alignment vertical="center"/>
    </xf>
    <xf numFmtId="0" fontId="43" fillId="0" borderId="0" applyAlignment="1" applyProtection="1" pivotButton="0" quotePrefix="0" xfId="0">
      <alignment vertical="center"/>
      <protection locked="0" hidden="0"/>
    </xf>
    <xf numFmtId="0" fontId="43" fillId="0" borderId="0" applyAlignment="1" applyProtection="1" pivotButton="0" quotePrefix="0" xfId="0">
      <alignment horizontal="center" vertical="center"/>
      <protection locked="0" hidden="0"/>
    </xf>
    <xf numFmtId="14" fontId="48" fillId="0" borderId="0" applyAlignment="1" pivotButton="0" quotePrefix="0" xfId="0">
      <alignment horizontal="left" vertical="center"/>
    </xf>
    <xf numFmtId="0" fontId="49" fillId="0" borderId="0" applyAlignment="1" applyProtection="1" pivotButton="0" quotePrefix="0" xfId="0">
      <alignment vertical="center"/>
      <protection locked="0" hidden="0"/>
    </xf>
    <xf numFmtId="0" fontId="50" fillId="0" borderId="0" applyAlignment="1" applyProtection="1" pivotButton="0" quotePrefix="0" xfId="0">
      <alignment vertical="center"/>
      <protection locked="0" hidden="0"/>
    </xf>
    <xf numFmtId="0" fontId="51" fillId="0" borderId="0" applyAlignment="1" applyProtection="1" pivotButton="0" quotePrefix="0" xfId="0">
      <alignment vertical="center"/>
      <protection locked="0" hidden="0"/>
    </xf>
    <xf numFmtId="0" fontId="32" fillId="0" borderId="0" applyProtection="1" pivotButton="0" quotePrefix="0" xfId="0">
      <protection locked="0" hidden="0"/>
    </xf>
    <xf numFmtId="14" fontId="47" fillId="0" borderId="0" applyAlignment="1" applyProtection="1" pivotButton="0" quotePrefix="0" xfId="0">
      <alignment horizontal="right" vertical="center"/>
      <protection locked="0" hidden="0"/>
    </xf>
    <xf numFmtId="0" fontId="52" fillId="3" borderId="96" applyAlignment="1" applyProtection="1" pivotButton="0" quotePrefix="0" xfId="0">
      <alignment horizontal="center" vertical="center"/>
      <protection locked="0" hidden="0"/>
    </xf>
    <xf numFmtId="0" fontId="52" fillId="3" borderId="116" applyAlignment="1" applyProtection="1" pivotButton="0" quotePrefix="0" xfId="0">
      <alignment horizontal="center" vertical="center"/>
      <protection locked="0" hidden="0"/>
    </xf>
    <xf numFmtId="0" fontId="41" fillId="4" borderId="13" applyAlignment="1" applyProtection="1" pivotButton="0" quotePrefix="0" xfId="0">
      <alignment horizontal="center" vertical="center"/>
      <protection locked="0" hidden="0"/>
    </xf>
    <xf numFmtId="173" fontId="41" fillId="4" borderId="13" applyAlignment="1" applyProtection="1" pivotButton="0" quotePrefix="0" xfId="0">
      <alignment horizontal="center" vertical="center"/>
      <protection locked="0" hidden="0"/>
    </xf>
    <xf numFmtId="174" fontId="41" fillId="4" borderId="30" applyAlignment="1" pivotButton="0" quotePrefix="0" xfId="0">
      <alignment horizontal="center" vertical="center"/>
    </xf>
    <xf numFmtId="175" fontId="53" fillId="3" borderId="122" applyAlignment="1" pivotButton="0" quotePrefix="0" xfId="0">
      <alignment horizontal="center" vertical="center"/>
    </xf>
    <xf numFmtId="175" fontId="53" fillId="3" borderId="119" applyAlignment="1" pivotButton="0" quotePrefix="0" xfId="0">
      <alignment horizontal="center" vertical="center"/>
    </xf>
    <xf numFmtId="175" fontId="53" fillId="3" borderId="120" applyAlignment="1" pivotButton="0" quotePrefix="0" xfId="0">
      <alignment horizontal="center" vertical="center"/>
    </xf>
    <xf numFmtId="0" fontId="48" fillId="0" borderId="0" applyAlignment="1" pivotButton="0" quotePrefix="0" xfId="0">
      <alignment vertical="center"/>
    </xf>
    <xf numFmtId="176" fontId="42" fillId="0" borderId="0" applyAlignment="1" applyProtection="1" pivotButton="0" quotePrefix="0" xfId="1">
      <alignment vertical="center"/>
      <protection locked="0" hidden="0"/>
    </xf>
    <xf numFmtId="176" fontId="43" fillId="0" borderId="0" applyAlignment="1" applyProtection="1" pivotButton="0" quotePrefix="0" xfId="1">
      <alignment vertical="center"/>
      <protection locked="0" hidden="0"/>
    </xf>
    <xf numFmtId="0" fontId="52" fillId="3" borderId="124" applyAlignment="1" applyProtection="1" pivotButton="0" quotePrefix="0" xfId="0">
      <alignment horizontal="center" vertical="center"/>
      <protection locked="0" hidden="0"/>
    </xf>
    <xf numFmtId="0" fontId="52" fillId="3" borderId="126" applyAlignment="1" applyProtection="1" pivotButton="0" quotePrefix="0" xfId="0">
      <alignment horizontal="center" vertical="center"/>
      <protection locked="0" hidden="0"/>
    </xf>
    <xf numFmtId="0" fontId="52" fillId="3" borderId="1" applyAlignment="1" pivotButton="0" quotePrefix="0" xfId="0">
      <alignment horizontal="center" vertical="center"/>
    </xf>
    <xf numFmtId="0" fontId="52" fillId="3" borderId="1" applyAlignment="1" applyProtection="1" pivotButton="0" quotePrefix="0" xfId="0">
      <alignment horizontal="center" vertical="center"/>
      <protection locked="0" hidden="0"/>
    </xf>
    <xf numFmtId="49" fontId="56" fillId="0" borderId="110" applyAlignment="1" applyProtection="1" pivotButton="0" quotePrefix="0" xfId="0">
      <alignment horizontal="center" vertical="center" wrapText="1"/>
      <protection locked="0" hidden="0"/>
    </xf>
    <xf numFmtId="0" fontId="60" fillId="0" borderId="103" applyAlignment="1" pivotButton="0" quotePrefix="0" xfId="0">
      <alignment horizontal="center" vertical="center"/>
    </xf>
    <xf numFmtId="0" fontId="60" fillId="0" borderId="103" applyAlignment="1" applyProtection="1" pivotButton="0" quotePrefix="0" xfId="0">
      <alignment horizontal="center" vertical="center"/>
      <protection locked="0" hidden="0"/>
    </xf>
    <xf numFmtId="177" fontId="60" fillId="0" borderId="103" applyAlignment="1" pivotButton="0" quotePrefix="0" xfId="0">
      <alignment horizontal="center" vertical="center"/>
    </xf>
    <xf numFmtId="172" fontId="60" fillId="0" borderId="30" applyAlignment="1" pivotButton="0" quotePrefix="0" xfId="0">
      <alignment horizontal="center" vertical="center"/>
    </xf>
    <xf numFmtId="49" fontId="56" fillId="0" borderId="110" applyAlignment="1" applyProtection="1" pivotButton="0" quotePrefix="0" xfId="0">
      <alignment horizontal="center" vertical="center"/>
      <protection locked="0" hidden="0"/>
    </xf>
    <xf numFmtId="0" fontId="60" fillId="0" borderId="15" applyAlignment="1" pivotButton="0" quotePrefix="0" xfId="0">
      <alignment horizontal="center" vertical="center"/>
    </xf>
    <xf numFmtId="0" fontId="60" fillId="0" borderId="13" applyAlignment="1" applyProtection="1" pivotButton="0" quotePrefix="0" xfId="0">
      <alignment horizontal="center" vertical="center"/>
      <protection locked="0" hidden="0"/>
    </xf>
    <xf numFmtId="177" fontId="60" fillId="0" borderId="13" applyAlignment="1" pivotButton="0" quotePrefix="0" xfId="0">
      <alignment horizontal="center" vertical="center"/>
    </xf>
    <xf numFmtId="0" fontId="60" fillId="0" borderId="13" applyAlignment="1" pivotButton="0" quotePrefix="0" xfId="0">
      <alignment horizontal="center" vertical="center"/>
    </xf>
    <xf numFmtId="0" fontId="61" fillId="0" borderId="0" applyAlignment="1" applyProtection="1" pivotButton="0" quotePrefix="0" xfId="0">
      <alignment horizontal="left" vertical="center"/>
      <protection locked="0" hidden="0"/>
    </xf>
    <xf numFmtId="49" fontId="56" fillId="0" borderId="112" applyAlignment="1" applyProtection="1" pivotButton="0" quotePrefix="0" xfId="0">
      <alignment horizontal="center" vertical="center"/>
      <protection locked="0" hidden="0"/>
    </xf>
    <xf numFmtId="0" fontId="60" fillId="0" borderId="80" applyAlignment="1" pivotButton="0" quotePrefix="0" xfId="0">
      <alignment horizontal="center" vertical="center"/>
    </xf>
    <xf numFmtId="0" fontId="60" fillId="0" borderId="80" applyAlignment="1" applyProtection="1" pivotButton="0" quotePrefix="0" xfId="0">
      <alignment horizontal="center" vertical="center"/>
      <protection locked="0" hidden="0"/>
    </xf>
    <xf numFmtId="177" fontId="60" fillId="0" borderId="80" applyAlignment="1" pivotButton="0" quotePrefix="0" xfId="0">
      <alignment horizontal="center" vertical="center"/>
    </xf>
    <xf numFmtId="172" fontId="60" fillId="0" borderId="121" applyAlignment="1" pivotButton="0" quotePrefix="0" xfId="0">
      <alignment horizontal="center" vertical="center"/>
    </xf>
    <xf numFmtId="0" fontId="0" fillId="0" borderId="0" applyAlignment="1" pivotButton="0" quotePrefix="0" xfId="0">
      <alignment vertical="center" wrapText="1"/>
    </xf>
    <xf numFmtId="0" fontId="66" fillId="0" borderId="0" applyAlignment="1" applyProtection="1" pivotButton="0" quotePrefix="0" xfId="0">
      <alignment horizontal="left" vertical="top"/>
      <protection locked="0" hidden="0"/>
    </xf>
    <xf numFmtId="0" fontId="68" fillId="0" borderId="0" applyAlignment="1" pivotButton="0" quotePrefix="0" xfId="0">
      <alignment horizontal="center" vertical="center"/>
    </xf>
    <xf numFmtId="0" fontId="68" fillId="0" borderId="0" applyAlignment="1" pivotButton="0" quotePrefix="0" xfId="0">
      <alignment horizontal="left" vertical="center"/>
    </xf>
    <xf numFmtId="0" fontId="68" fillId="0" borderId="1" applyAlignment="1" pivotButton="0" quotePrefix="0" xfId="0">
      <alignment horizontal="center" vertical="center"/>
    </xf>
    <xf numFmtId="0" fontId="69" fillId="0" borderId="0" applyAlignment="1" pivotButton="0" quotePrefix="0" xfId="0">
      <alignment horizontal="center" vertical="center"/>
    </xf>
    <xf numFmtId="175" fontId="74" fillId="0" borderId="0" applyAlignment="1" pivotButton="0" quotePrefix="0" xfId="3">
      <alignment vertical="center"/>
    </xf>
    <xf numFmtId="175" fontId="75" fillId="0" borderId="0" applyAlignment="1" pivotButton="0" quotePrefix="0" xfId="0">
      <alignment vertical="center"/>
    </xf>
    <xf numFmtId="175" fontId="76" fillId="0" borderId="0" applyAlignment="1" pivotButton="0" quotePrefix="0" xfId="0">
      <alignment horizontal="center" vertical="center"/>
    </xf>
    <xf numFmtId="175" fontId="78" fillId="0" borderId="0" applyAlignment="1" pivotButton="0" quotePrefix="0" xfId="3">
      <alignment horizontal="right" vertical="center"/>
    </xf>
    <xf numFmtId="175" fontId="75" fillId="0" borderId="0" applyAlignment="1" pivotButton="0" quotePrefix="0" xfId="3">
      <alignment horizontal="left" vertical="center"/>
    </xf>
    <xf numFmtId="175" fontId="0" fillId="0" borderId="0" applyAlignment="1" pivotButton="0" quotePrefix="0" xfId="0">
      <alignment vertical="center"/>
    </xf>
    <xf numFmtId="175" fontId="66" fillId="0" borderId="0" applyAlignment="1" pivotButton="0" quotePrefix="0" xfId="3">
      <alignment vertical="center"/>
    </xf>
    <xf numFmtId="175" fontId="79" fillId="0" borderId="0" applyAlignment="1" pivotButton="0" quotePrefix="0" xfId="5">
      <alignment vertical="center"/>
    </xf>
    <xf numFmtId="175" fontId="74" fillId="0" borderId="0" applyAlignment="1" pivotButton="0" quotePrefix="0" xfId="3">
      <alignment horizontal="left" vertical="center"/>
    </xf>
    <xf numFmtId="175" fontId="81" fillId="0" borderId="0" applyAlignment="1" pivotButton="0" quotePrefix="0" xfId="0">
      <alignment vertical="center"/>
    </xf>
    <xf numFmtId="175" fontId="82" fillId="0" borderId="0" applyAlignment="1" pivotButton="0" quotePrefix="0" xfId="0">
      <alignment vertical="center"/>
    </xf>
    <xf numFmtId="175" fontId="0" fillId="0" borderId="0" applyAlignment="1" pivotButton="0" quotePrefix="0" xfId="0">
      <alignment horizontal="center" vertical="center"/>
    </xf>
    <xf numFmtId="175" fontId="83" fillId="0" borderId="0" applyAlignment="1" pivotButton="0" quotePrefix="0" xfId="5">
      <alignment vertical="center"/>
    </xf>
    <xf numFmtId="175" fontId="74" fillId="0" borderId="0" applyAlignment="1" pivotButton="0" quotePrefix="0" xfId="3">
      <alignment horizontal="center" vertical="center"/>
    </xf>
    <xf numFmtId="175" fontId="83" fillId="0" borderId="0" applyAlignment="1" pivotButton="0" quotePrefix="0" xfId="3">
      <alignment vertical="center"/>
    </xf>
    <xf numFmtId="175" fontId="67" fillId="0" borderId="0" applyAlignment="1" pivotButton="0" quotePrefix="0" xfId="3">
      <alignment vertical="center"/>
    </xf>
    <xf numFmtId="175" fontId="35" fillId="0" borderId="0" applyAlignment="1" pivotButton="0" quotePrefix="0" xfId="5">
      <alignment vertical="center"/>
    </xf>
    <xf numFmtId="175" fontId="83" fillId="0" borderId="0" applyAlignment="1" pivotButton="0" quotePrefix="0" xfId="3">
      <alignment horizontal="left" vertical="center"/>
    </xf>
    <xf numFmtId="175" fontId="84" fillId="0" borderId="0" applyAlignment="1" pivotButton="0" quotePrefix="0" xfId="3">
      <alignment horizontal="left" vertical="center"/>
    </xf>
    <xf numFmtId="0" fontId="68" fillId="0" borderId="2" applyAlignment="1" pivotButton="0" quotePrefix="0" xfId="0">
      <alignment horizontal="center" vertical="center"/>
    </xf>
    <xf numFmtId="0" fontId="87" fillId="0" borderId="0" applyAlignment="1" pivotButton="0" quotePrefix="0" xfId="0">
      <alignment vertical="center"/>
    </xf>
    <xf numFmtId="0" fontId="68" fillId="0" borderId="0" applyAlignment="1" pivotButton="0" quotePrefix="0" xfId="0">
      <alignment horizontal="right" vertical="center"/>
    </xf>
    <xf numFmtId="0" fontId="88" fillId="0" borderId="0" applyAlignment="1" pivotButton="0" quotePrefix="0" xfId="0">
      <alignment vertical="center"/>
    </xf>
    <xf numFmtId="0" fontId="88" fillId="0" borderId="0" applyAlignment="1" pivotButton="0" quotePrefix="0" xfId="0">
      <alignment horizontal="center" vertical="center"/>
    </xf>
    <xf numFmtId="0" fontId="90" fillId="0" borderId="0" applyAlignment="1" pivotButton="0" quotePrefix="0" xfId="0">
      <alignment vertical="center"/>
    </xf>
    <xf numFmtId="0" fontId="68" fillId="0" borderId="0" applyAlignment="1" pivotButton="0" quotePrefix="0" xfId="0">
      <alignment vertical="center"/>
    </xf>
    <xf numFmtId="0" fontId="68" fillId="0" borderId="0" applyAlignment="1" pivotButton="0" quotePrefix="0" xfId="0">
      <alignment vertical="center" wrapText="1"/>
    </xf>
    <xf numFmtId="0" fontId="87" fillId="0" borderId="0" applyAlignment="1" pivotButton="0" quotePrefix="0" xfId="0">
      <alignment horizontal="left" vertical="center"/>
    </xf>
    <xf numFmtId="0" fontId="87" fillId="0" borderId="0" applyAlignment="1" pivotButton="0" quotePrefix="0" xfId="0">
      <alignment horizontal="center" vertical="center"/>
    </xf>
    <xf numFmtId="0" fontId="87" fillId="0" borderId="0" applyAlignment="1" pivotButton="0" quotePrefix="0" xfId="0">
      <alignment horizontal="center" vertical="center" wrapText="1"/>
    </xf>
    <xf numFmtId="0" fontId="0" fillId="0" borderId="0" applyAlignment="1" pivotButton="0" quotePrefix="0" xfId="0">
      <alignment horizontal="center" vertical="center"/>
    </xf>
    <xf numFmtId="0" fontId="92" fillId="0" borderId="0" applyAlignment="1" pivotButton="0" quotePrefix="0" xfId="3">
      <alignment vertical="center"/>
    </xf>
    <xf numFmtId="0" fontId="78" fillId="0" borderId="0" applyAlignment="1" pivotButton="0" quotePrefix="0" xfId="0">
      <alignment vertical="center"/>
    </xf>
    <xf numFmtId="0" fontId="78" fillId="0" borderId="0" applyAlignment="1" pivotButton="0" quotePrefix="0" xfId="0">
      <alignment horizontal="right" vertical="center"/>
    </xf>
    <xf numFmtId="0" fontId="93" fillId="0" borderId="0" applyAlignment="1" pivotButton="0" quotePrefix="0" xfId="3">
      <alignment horizontal="left" vertical="center"/>
    </xf>
    <xf numFmtId="0" fontId="66" fillId="0" borderId="0" applyAlignment="1" pivotButton="0" quotePrefix="0" xfId="3">
      <alignment vertical="center"/>
    </xf>
    <xf numFmtId="0" fontId="78" fillId="0" borderId="0" applyAlignment="1" pivotButton="0" quotePrefix="0" xfId="3">
      <alignment horizontal="right" vertical="center"/>
    </xf>
    <xf numFmtId="178" fontId="92" fillId="0" borderId="142" applyAlignment="1" pivotButton="0" quotePrefix="0" xfId="3">
      <alignment horizontal="center" vertical="center"/>
    </xf>
    <xf numFmtId="0" fontId="78" fillId="0" borderId="0" applyAlignment="1" pivotButton="0" quotePrefix="0" xfId="3">
      <alignment vertical="center"/>
    </xf>
    <xf numFmtId="0" fontId="95" fillId="0" borderId="144" applyAlignment="1" pivotButton="0" quotePrefix="0" xfId="3">
      <alignment vertical="center"/>
    </xf>
    <xf numFmtId="0" fontId="95" fillId="0" borderId="0" applyAlignment="1" pivotButton="0" quotePrefix="0" xfId="3">
      <alignment vertical="center"/>
    </xf>
    <xf numFmtId="0" fontId="78" fillId="0" borderId="0" applyAlignment="1" pivotButton="0" quotePrefix="0" xfId="3">
      <alignment horizontal="left" vertical="center"/>
    </xf>
    <xf numFmtId="0" fontId="77" fillId="0" borderId="0" applyAlignment="1" pivotButton="0" quotePrefix="0" xfId="3">
      <alignment vertical="center"/>
    </xf>
    <xf numFmtId="0" fontId="77" fillId="0" borderId="0" applyAlignment="1" pivotButton="0" quotePrefix="0" xfId="5">
      <alignment vertical="center"/>
    </xf>
    <xf numFmtId="0" fontId="92" fillId="0" borderId="0" applyAlignment="1" pivotButton="0" quotePrefix="0" xfId="3">
      <alignment horizontal="left" vertical="center"/>
    </xf>
    <xf numFmtId="0" fontId="92" fillId="5" borderId="145" applyAlignment="1" pivotButton="0" quotePrefix="0" xfId="3">
      <alignment horizontal="center" vertical="center"/>
    </xf>
    <xf numFmtId="179" fontId="94" fillId="0" borderId="146" applyAlignment="1" pivotButton="0" quotePrefix="0" xfId="3">
      <alignment horizontal="center" vertical="center"/>
    </xf>
    <xf numFmtId="0" fontId="92" fillId="5" borderId="148" applyAlignment="1" pivotButton="0" quotePrefix="0" xfId="3">
      <alignment horizontal="center" vertical="center"/>
    </xf>
    <xf numFmtId="0" fontId="92" fillId="5" borderId="149" applyAlignment="1" pivotButton="0" quotePrefix="0" xfId="3">
      <alignment horizontal="center" vertical="center"/>
    </xf>
    <xf numFmtId="0" fontId="92" fillId="0" borderId="149" applyAlignment="1" pivotButton="0" quotePrefix="0" xfId="3">
      <alignment horizontal="center" vertical="center"/>
    </xf>
    <xf numFmtId="0" fontId="92" fillId="0" borderId="149" applyAlignment="1" pivotButton="0" quotePrefix="0" xfId="4">
      <alignment vertical="center"/>
    </xf>
    <xf numFmtId="180" fontId="92" fillId="0" borderId="148" applyAlignment="1" pivotButton="0" quotePrefix="0" xfId="3">
      <alignment vertical="center"/>
    </xf>
    <xf numFmtId="0" fontId="92" fillId="0" borderId="152" applyAlignment="1" pivotButton="0" quotePrefix="0" xfId="3">
      <alignment horizontal="center" vertical="center"/>
    </xf>
    <xf numFmtId="0" fontId="92" fillId="0" borderId="153" applyAlignment="1" pivotButton="0" quotePrefix="0" xfId="3">
      <alignment horizontal="center" vertical="center"/>
    </xf>
    <xf numFmtId="0" fontId="92" fillId="0" borderId="152" applyAlignment="1" pivotButton="0" quotePrefix="0" xfId="4">
      <alignment vertical="center"/>
    </xf>
    <xf numFmtId="0" fontId="92" fillId="0" borderId="144" applyAlignment="1" pivotButton="0" quotePrefix="0" xfId="3">
      <alignment vertical="center"/>
    </xf>
    <xf numFmtId="0" fontId="92" fillId="0" borderId="154" applyAlignment="1" pivotButton="0" quotePrefix="0" xfId="3">
      <alignment vertical="center"/>
    </xf>
    <xf numFmtId="0" fontId="92" fillId="5" borderId="155" applyAlignment="1" pivotButton="0" quotePrefix="0" xfId="4">
      <alignment horizontal="center" vertical="center"/>
    </xf>
    <xf numFmtId="180" fontId="92" fillId="0" borderId="154" applyAlignment="1" pivotButton="0" quotePrefix="0" xfId="3">
      <alignment vertical="center"/>
    </xf>
    <xf numFmtId="0" fontId="92" fillId="5" borderId="149" applyAlignment="1" pivotButton="0" quotePrefix="0" xfId="4">
      <alignment horizontal="center" vertical="center"/>
    </xf>
    <xf numFmtId="180" fontId="92" fillId="0" borderId="149" applyAlignment="1" pivotButton="0" quotePrefix="0" xfId="3">
      <alignment horizontal="right" vertical="center"/>
    </xf>
    <xf numFmtId="180" fontId="92" fillId="0" borderId="149" applyAlignment="1" pivotButton="0" quotePrefix="0" xfId="3">
      <alignment vertical="center"/>
    </xf>
    <xf numFmtId="0" fontId="78" fillId="0" borderId="0" applyAlignment="1" pivotButton="0" quotePrefix="0" xfId="0">
      <alignment horizontal="center" vertical="center"/>
    </xf>
    <xf numFmtId="14" fontId="78" fillId="0" borderId="0" applyAlignment="1" pivotButton="0" quotePrefix="0" xfId="0">
      <alignment vertical="center"/>
    </xf>
    <xf numFmtId="172" fontId="78" fillId="0" borderId="0" applyAlignment="1" pivotButton="0" quotePrefix="0" xfId="3">
      <alignment horizontal="left" vertical="center"/>
    </xf>
    <xf numFmtId="172" fontId="78" fillId="0" borderId="0" applyAlignment="1" pivotButton="0" quotePrefix="0" xfId="3">
      <alignment vertical="center"/>
    </xf>
    <xf numFmtId="172" fontId="74" fillId="0" borderId="0" applyAlignment="1" pivotButton="0" quotePrefix="0" xfId="3">
      <alignment vertical="center"/>
    </xf>
    <xf numFmtId="172" fontId="75" fillId="0" borderId="0" applyAlignment="1" pivotButton="0" quotePrefix="0" xfId="3">
      <alignment horizontal="left" vertical="center"/>
    </xf>
    <xf numFmtId="172" fontId="78" fillId="0" borderId="0" applyAlignment="1" pivotButton="0" quotePrefix="0" xfId="3">
      <alignment horizontal="center" vertical="center"/>
    </xf>
    <xf numFmtId="172" fontId="80" fillId="0" borderId="0" applyAlignment="1" pivotButton="0" quotePrefix="0" xfId="3">
      <alignment horizontal="left" vertical="center"/>
    </xf>
    <xf numFmtId="172" fontId="77" fillId="0" borderId="0" applyAlignment="1" pivotButton="0" quotePrefix="0" xfId="3">
      <alignment horizontal="left" vertical="center"/>
    </xf>
    <xf numFmtId="172" fontId="77" fillId="0" borderId="0" applyAlignment="1" pivotButton="0" quotePrefix="0" xfId="3">
      <alignment horizontal="right" vertical="center"/>
    </xf>
    <xf numFmtId="172" fontId="74" fillId="0" borderId="0" applyAlignment="1" pivotButton="0" quotePrefix="0" xfId="3">
      <alignment horizontal="left" vertical="center"/>
    </xf>
    <xf numFmtId="172" fontId="0" fillId="0" borderId="0" applyAlignment="1" pivotButton="0" quotePrefix="0" xfId="0">
      <alignment vertical="center"/>
    </xf>
    <xf numFmtId="0" fontId="90" fillId="0" borderId="0" applyAlignment="1" pivotButton="0" quotePrefix="0" xfId="0">
      <alignment horizontal="left" vertical="center"/>
    </xf>
    <xf numFmtId="0" fontId="96" fillId="0" borderId="0" applyAlignment="1" pivotButton="0" quotePrefix="0" xfId="0">
      <alignment horizontal="left" vertical="center"/>
    </xf>
    <xf numFmtId="0" fontId="78" fillId="0" borderId="0" applyAlignment="1" pivotButton="0" quotePrefix="0" xfId="3">
      <alignment horizontal="left" vertical="center"/>
    </xf>
    <xf numFmtId="0" fontId="73" fillId="0" borderId="0" applyAlignment="1" pivotButton="0" quotePrefix="0" xfId="5">
      <alignment horizontal="center" vertical="center"/>
    </xf>
    <xf numFmtId="0" fontId="94" fillId="0" borderId="143" applyAlignment="1" pivotButton="0" quotePrefix="0" xfId="3">
      <alignment horizontal="left" vertical="center"/>
    </xf>
    <xf numFmtId="0" fontId="77" fillId="0" borderId="0" applyAlignment="1" pivotButton="0" quotePrefix="0" xfId="3">
      <alignment horizontal="left" vertical="center"/>
    </xf>
    <xf numFmtId="0" fontId="92" fillId="0" borderId="147" applyAlignment="1" pivotButton="0" quotePrefix="0" xfId="3">
      <alignment horizontal="center" vertical="center"/>
    </xf>
    <xf numFmtId="0" fontId="92" fillId="0" borderId="148" applyAlignment="1" pivotButton="0" quotePrefix="0" xfId="3">
      <alignment horizontal="center" vertical="center"/>
    </xf>
    <xf numFmtId="0" fontId="92" fillId="5" borderId="147" applyAlignment="1" pivotButton="0" quotePrefix="0" xfId="3">
      <alignment horizontal="center" vertical="center"/>
    </xf>
    <xf numFmtId="0" fontId="92" fillId="5" borderId="148" applyAlignment="1" pivotButton="0" quotePrefix="0" xfId="3">
      <alignment horizontal="center" vertical="center"/>
    </xf>
    <xf numFmtId="0" fontId="92" fillId="0" borderId="149" applyAlignment="1" pivotButton="0" quotePrefix="0" xfId="3">
      <alignment horizontal="left" vertical="center"/>
    </xf>
    <xf numFmtId="0" fontId="92" fillId="0" borderId="150" applyAlignment="1" pivotButton="0" quotePrefix="0" xfId="3">
      <alignment horizontal="center" vertical="center"/>
    </xf>
    <xf numFmtId="0" fontId="92" fillId="0" borderId="151" applyAlignment="1" pivotButton="0" quotePrefix="0" xfId="3">
      <alignment horizontal="center" vertical="center"/>
    </xf>
    <xf numFmtId="0" fontId="92" fillId="0" borderId="149" applyAlignment="1" pivotButton="0" quotePrefix="0" xfId="3">
      <alignment horizontal="center" vertical="center"/>
    </xf>
    <xf numFmtId="0" fontId="0" fillId="0" borderId="41" applyAlignment="1" pivotButton="0" quotePrefix="0" xfId="0">
      <alignment horizontal="center" vertical="center"/>
    </xf>
    <xf numFmtId="0" fontId="0" fillId="0" borderId="67" applyAlignment="1" pivotButton="0" quotePrefix="0" xfId="0">
      <alignment horizontal="center" vertical="center"/>
    </xf>
    <xf numFmtId="0" fontId="0" fillId="0" borderId="24" applyAlignment="1" applyProtection="1" pivotButton="0" quotePrefix="0" xfId="0">
      <alignment horizontal="center" vertical="center"/>
      <protection locked="0" hidden="0"/>
    </xf>
    <xf numFmtId="0" fontId="0" fillId="0" borderId="13" applyAlignment="1" applyProtection="1" pivotButton="0" quotePrefix="0" xfId="0">
      <alignment horizontal="center" vertical="center"/>
      <protection locked="0" hidden="0"/>
    </xf>
    <xf numFmtId="165" fontId="0" fillId="0" borderId="39" applyAlignment="1" pivotButton="0" quotePrefix="0" xfId="0">
      <alignment horizontal="center" vertical="center"/>
    </xf>
    <xf numFmtId="165" fontId="0" fillId="0" borderId="16" applyAlignment="1" pivotButton="0" quotePrefix="0" xfId="0">
      <alignment horizontal="center" vertical="center"/>
    </xf>
    <xf numFmtId="0" fontId="18" fillId="0" borderId="41" applyAlignment="1" pivotButton="0" quotePrefix="0" xfId="0">
      <alignment horizontal="center" vertical="center"/>
    </xf>
    <xf numFmtId="0" fontId="19" fillId="0" borderId="14" applyAlignment="1" pivotButton="0" quotePrefix="0" xfId="0">
      <alignment horizontal="center" vertical="center"/>
    </xf>
    <xf numFmtId="164" fontId="0" fillId="0" borderId="39" applyAlignment="1" pivotButton="0" quotePrefix="0" xfId="0">
      <alignment horizontal="center" vertical="center"/>
    </xf>
    <xf numFmtId="164" fontId="0" fillId="0" borderId="30" applyAlignment="1" pivotButton="0" quotePrefix="0" xfId="0">
      <alignment horizontal="center" vertical="center"/>
    </xf>
    <xf numFmtId="0" fontId="0" fillId="0" borderId="39" applyAlignment="1" pivotButton="0" quotePrefix="0" xfId="0">
      <alignment horizontal="center" vertical="center"/>
    </xf>
    <xf numFmtId="0" fontId="0" fillId="0" borderId="16" applyAlignment="1" pivotButton="0" quotePrefix="0" xfId="0">
      <alignment horizontal="center" vertical="center"/>
    </xf>
    <xf numFmtId="166" fontId="13" fillId="0" borderId="39" applyAlignment="1" pivotButton="0" quotePrefix="0" xfId="0">
      <alignment horizontal="center" vertical="center"/>
    </xf>
    <xf numFmtId="166" fontId="13" fillId="0" borderId="30" applyAlignment="1" pivotButton="0" quotePrefix="0" xfId="0">
      <alignment horizontal="center" vertical="center"/>
    </xf>
    <xf numFmtId="0" fontId="14" fillId="0" borderId="39" applyAlignment="1" pivotButton="0" quotePrefix="0" xfId="0">
      <alignment horizontal="center" vertical="center"/>
    </xf>
    <xf numFmtId="0" fontId="14" fillId="0" borderId="16" applyAlignment="1" pivotButton="0" quotePrefix="0" xfId="0">
      <alignment horizontal="center" vertical="center"/>
    </xf>
    <xf numFmtId="0" fontId="0" fillId="0" borderId="4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13" fillId="0" borderId="39" applyAlignment="1" pivotButton="0" quotePrefix="0" xfId="0">
      <alignment horizontal="center" vertical="center"/>
    </xf>
    <xf numFmtId="0" fontId="13" fillId="0" borderId="30" applyAlignment="1" pivotButton="0" quotePrefix="0" xfId="0">
      <alignment horizontal="center" vertical="center"/>
    </xf>
    <xf numFmtId="166" fontId="0" fillId="0" borderId="57" applyAlignment="1" pivotButton="0" quotePrefix="0" xfId="0">
      <alignment horizontal="center" vertical="center"/>
    </xf>
    <xf numFmtId="166" fontId="0" fillId="0" borderId="58" applyAlignment="1" pivotButton="0" quotePrefix="0" xfId="0">
      <alignment horizontal="center" vertical="center"/>
    </xf>
    <xf numFmtId="166" fontId="0" fillId="0" borderId="60" applyAlignment="1" pivotButton="0" quotePrefix="0" xfId="0">
      <alignment horizontal="center" vertical="center"/>
    </xf>
    <xf numFmtId="166" fontId="0" fillId="0" borderId="32" applyAlignment="1" pivotButton="0" quotePrefix="0" xfId="0">
      <alignment horizontal="center" vertical="center"/>
    </xf>
    <xf numFmtId="166" fontId="0" fillId="0" borderId="17" applyAlignment="1" pivotButton="0" quotePrefix="0" xfId="0">
      <alignment horizontal="center" vertical="center"/>
    </xf>
    <xf numFmtId="0" fontId="18" fillId="0" borderId="55" applyAlignment="1" pivotButton="0" quotePrefix="0" xfId="0">
      <alignment horizontal="center" vertical="center"/>
    </xf>
    <xf numFmtId="0" fontId="19" fillId="0" borderId="31" applyAlignment="1" pivotButton="0" quotePrefix="0" xfId="0">
      <alignment horizontal="center" vertical="center"/>
    </xf>
    <xf numFmtId="0" fontId="14" fillId="0" borderId="60" applyAlignment="1" pivotButton="0" quotePrefix="0" xfId="0">
      <alignment horizontal="center" vertical="center"/>
    </xf>
    <xf numFmtId="0" fontId="14" fillId="0" borderId="17" applyAlignment="1" pivotButton="0" quotePrefix="0" xfId="0">
      <alignment horizontal="center" vertical="center"/>
    </xf>
    <xf numFmtId="0" fontId="14" fillId="0" borderId="55" applyAlignment="1" pivotButton="0" quotePrefix="0" xfId="0">
      <alignment horizontal="center" vertical="center"/>
    </xf>
    <xf numFmtId="0" fontId="14" fillId="0" borderId="20" applyAlignment="1" pivotButton="0" quotePrefix="0" xfId="0">
      <alignment horizontal="center" vertical="center"/>
    </xf>
    <xf numFmtId="0" fontId="0" fillId="0" borderId="60" applyAlignment="1" pivotButton="0" quotePrefix="0" xfId="0">
      <alignment horizontal="center" vertical="center"/>
    </xf>
    <xf numFmtId="0" fontId="0" fillId="0" borderId="32" applyAlignment="1" pivotButton="0" quotePrefix="0" xfId="0">
      <alignment horizontal="center" vertical="center"/>
    </xf>
    <xf numFmtId="0" fontId="13" fillId="0" borderId="61" applyAlignment="1" pivotButton="0" quotePrefix="0" xfId="0">
      <alignment horizontal="center" vertical="center"/>
    </xf>
    <xf numFmtId="0" fontId="13" fillId="0" borderId="21" applyAlignment="1" pivotButton="0" quotePrefix="0" xfId="0">
      <alignment horizontal="center" vertical="center"/>
    </xf>
    <xf numFmtId="0" fontId="13" fillId="0" borderId="57" applyAlignment="1" pivotButton="0" quotePrefix="0" xfId="0">
      <alignment horizontal="center" vertical="center"/>
    </xf>
    <xf numFmtId="0" fontId="13" fillId="0" borderId="59" applyAlignment="1" pivotButton="0" quotePrefix="0" xfId="0">
      <alignment horizontal="center" vertical="center"/>
    </xf>
    <xf numFmtId="0" fontId="13" fillId="0" borderId="63" applyAlignment="1" pivotButton="0" quotePrefix="0" xfId="0">
      <alignment horizontal="center" vertical="center"/>
    </xf>
    <xf numFmtId="0" fontId="13" fillId="0" borderId="18" applyAlignment="1" pivotButton="0" quotePrefix="0" xfId="0">
      <alignment horizontal="center" vertical="center"/>
    </xf>
    <xf numFmtId="0" fontId="0" fillId="0" borderId="57" applyAlignment="1" pivotButton="0" quotePrefix="0" xfId="0">
      <alignment horizontal="center" vertical="center"/>
    </xf>
    <xf numFmtId="0" fontId="0" fillId="0" borderId="59" applyAlignment="1" pivotButton="0" quotePrefix="0" xfId="0">
      <alignment horizontal="center" vertical="center"/>
    </xf>
    <xf numFmtId="0" fontId="21" fillId="0" borderId="70" applyAlignment="1" pivotButton="0" quotePrefix="0" xfId="0">
      <alignment horizontal="center" vertical="center"/>
    </xf>
    <xf numFmtId="0" fontId="21" fillId="0" borderId="0" applyAlignment="1" pivotButton="0" quotePrefix="0" xfId="0">
      <alignment horizontal="center" vertical="center"/>
    </xf>
    <xf numFmtId="0" fontId="21" fillId="0" borderId="34" applyAlignment="1" pivotButton="0" quotePrefix="0" xfId="0">
      <alignment horizontal="center" vertical="center"/>
    </xf>
    <xf numFmtId="0" fontId="21" fillId="0" borderId="19" applyAlignment="1" pivotButton="0" quotePrefix="0" xfId="0">
      <alignment horizontal="center" vertical="center"/>
    </xf>
    <xf numFmtId="0" fontId="0" fillId="0" borderId="47" applyAlignment="1" applyProtection="1" pivotButton="0" quotePrefix="0" xfId="0">
      <alignment horizontal="center" vertical="center"/>
      <protection locked="0" hidden="0"/>
    </xf>
    <xf numFmtId="0" fontId="0" fillId="0" borderId="48" applyAlignment="1" applyProtection="1" pivotButton="0" quotePrefix="0" xfId="0">
      <alignment horizontal="center" vertical="center"/>
      <protection locked="0" hidden="0"/>
    </xf>
    <xf numFmtId="0" fontId="0" fillId="0" borderId="49" applyAlignment="1" applyProtection="1" pivotButton="0" quotePrefix="0" xfId="0">
      <alignment horizontal="center" vertical="center"/>
      <protection locked="0" hidden="0"/>
    </xf>
    <xf numFmtId="0" fontId="0" fillId="0" borderId="25" applyAlignment="1" applyProtection="1" pivotButton="0" quotePrefix="0" xfId="0">
      <alignment horizontal="center" vertical="center"/>
      <protection locked="0" hidden="0"/>
    </xf>
    <xf numFmtId="0" fontId="0" fillId="0" borderId="26" applyAlignment="1" applyProtection="1" pivotButton="0" quotePrefix="0" xfId="0">
      <alignment horizontal="center" vertical="center"/>
      <protection locked="0" hidden="0"/>
    </xf>
    <xf numFmtId="0" fontId="0" fillId="0" borderId="27" applyAlignment="1" applyProtection="1" pivotButton="0" quotePrefix="0" xfId="0">
      <alignment horizontal="center" vertical="center"/>
      <protection locked="0" hidden="0"/>
    </xf>
    <xf numFmtId="0" fontId="0" fillId="0" borderId="28" applyAlignment="1" applyProtection="1" pivotButton="0" quotePrefix="0" xfId="0">
      <alignment horizontal="center" vertical="center"/>
      <protection locked="0" hidden="0"/>
    </xf>
    <xf numFmtId="0" fontId="0" fillId="0" borderId="35" applyAlignment="1" pivotButton="0" quotePrefix="0" xfId="0">
      <alignment horizontal="center" vertical="center"/>
    </xf>
    <xf numFmtId="0" fontId="0" fillId="0" borderId="25" applyAlignment="1" pivotButton="0" quotePrefix="0" xfId="0">
      <alignment horizontal="center" vertical="center"/>
    </xf>
    <xf numFmtId="0" fontId="0" fillId="0" borderId="12" applyAlignment="1" pivotButton="0" quotePrefix="0" xfId="0">
      <alignment horizontal="center" vertical="center"/>
    </xf>
    <xf numFmtId="0" fontId="0" fillId="0" borderId="77" applyAlignment="1" pivotButton="0" quotePrefix="0" xfId="0">
      <alignment horizontal="center" vertical="center"/>
    </xf>
    <xf numFmtId="0" fontId="0" fillId="0" borderId="71" applyAlignment="1" pivotButton="0" quotePrefix="0" xfId="0">
      <alignment horizontal="center" vertical="center"/>
    </xf>
    <xf numFmtId="0" fontId="0" fillId="0" borderId="63" applyAlignment="1" pivotButton="0" quotePrefix="0" xfId="0">
      <alignment horizontal="center" vertical="center"/>
    </xf>
    <xf numFmtId="0" fontId="0" fillId="0" borderId="23" applyAlignment="1" pivotButton="0" quotePrefix="0" xfId="0">
      <alignment horizontal="center" vertical="center"/>
    </xf>
    <xf numFmtId="0" fontId="18" fillId="0" borderId="8" applyAlignment="1" pivotButton="0" quotePrefix="0" xfId="0">
      <alignment horizontal="center" vertical="center"/>
    </xf>
    <xf numFmtId="0" fontId="18" fillId="0" borderId="0" applyAlignment="1" pivotButton="0" quotePrefix="0" xfId="0">
      <alignment horizontal="center" vertical="center"/>
    </xf>
    <xf numFmtId="0" fontId="18" fillId="0" borderId="92" applyAlignment="1" pivotButton="0" quotePrefix="0" xfId="0">
      <alignment horizontal="center" vertical="center"/>
    </xf>
    <xf numFmtId="0" fontId="18" fillId="0" borderId="93" applyAlignment="1" pivotButton="0" quotePrefix="0" xfId="0">
      <alignment horizontal="center" vertical="center"/>
    </xf>
    <xf numFmtId="0" fontId="18" fillId="0" borderId="11" applyAlignment="1" pivotButton="0" quotePrefix="0" xfId="0">
      <alignment horizontal="center" vertical="center"/>
    </xf>
    <xf numFmtId="0" fontId="18" fillId="0" borderId="94" applyAlignment="1" pivotButton="0" quotePrefix="0" xfId="0">
      <alignment horizontal="center" vertical="center"/>
    </xf>
    <xf numFmtId="0" fontId="23" fillId="0" borderId="39" applyAlignment="1" pivotButton="0" quotePrefix="0" xfId="0">
      <alignment horizontal="left" vertical="center"/>
    </xf>
    <xf numFmtId="0" fontId="25" fillId="0" borderId="81" applyAlignment="1" pivotButton="0" quotePrefix="0" xfId="0">
      <alignment horizontal="left" vertical="center"/>
    </xf>
    <xf numFmtId="0" fontId="22" fillId="0" borderId="39" applyAlignment="1" pivotButton="0" quotePrefix="0" xfId="0">
      <alignment horizontal="left" vertical="center"/>
    </xf>
    <xf numFmtId="0" fontId="23" fillId="0" borderId="16" applyAlignment="1" pivotButton="0" quotePrefix="0" xfId="0">
      <alignment horizontal="left" vertical="center"/>
    </xf>
    <xf numFmtId="0" fontId="25" fillId="0" borderId="39" applyAlignment="1" pivotButton="0" quotePrefix="0" xfId="0">
      <alignment horizontal="left" vertical="center"/>
    </xf>
    <xf numFmtId="0" fontId="25" fillId="0" borderId="16" applyAlignment="1" pivotButton="0" quotePrefix="0" xfId="0">
      <alignment horizontal="left" vertical="center"/>
    </xf>
    <xf numFmtId="0" fontId="24" fillId="0" borderId="39" applyAlignment="1" pivotButton="0" quotePrefix="0" xfId="0">
      <alignment horizontal="left" vertical="center"/>
    </xf>
    <xf numFmtId="0" fontId="25" fillId="0" borderId="17" applyAlignment="1" pivotButton="0" quotePrefix="0" xfId="0">
      <alignment horizontal="left" vertical="center"/>
    </xf>
    <xf numFmtId="0" fontId="0" fillId="0" borderId="15" applyAlignment="1" pivotButton="0" quotePrefix="0" xfId="0">
      <alignment horizontal="center" vertical="center"/>
    </xf>
    <xf numFmtId="0" fontId="0" fillId="0" borderId="46" applyAlignment="1" pivotButton="0" quotePrefix="0" xfId="0">
      <alignment horizontal="center" vertical="center"/>
    </xf>
    <xf numFmtId="0" fontId="0" fillId="0" borderId="87" applyAlignment="1" pivotButton="0" quotePrefix="0" xfId="0">
      <alignment horizontal="center" vertical="center"/>
    </xf>
    <xf numFmtId="0" fontId="24" fillId="0" borderId="33" applyAlignment="1" pivotButton="0" quotePrefix="0" xfId="0">
      <alignment horizontal="center" vertical="center"/>
    </xf>
    <xf numFmtId="0" fontId="25" fillId="0" borderId="90" applyAlignment="1" pivotButton="0" quotePrefix="0" xfId="0">
      <alignment horizontal="center" vertical="center"/>
    </xf>
    <xf numFmtId="0" fontId="20" fillId="0" borderId="83" applyAlignment="1" pivotButton="0" quotePrefix="0" xfId="0">
      <alignment horizontal="center" vertical="center"/>
    </xf>
    <xf numFmtId="0" fontId="20" fillId="0" borderId="84" applyAlignment="1" pivotButton="0" quotePrefix="0" xfId="0">
      <alignment horizontal="center" vertical="center"/>
    </xf>
    <xf numFmtId="0" fontId="20" fillId="0" borderId="85" applyAlignment="1" pivotButton="0" quotePrefix="0" xfId="0">
      <alignment horizontal="center" vertical="center"/>
    </xf>
    <xf numFmtId="0" fontId="20" fillId="0" borderId="86" applyAlignment="1" pivotButton="0" quotePrefix="0" xfId="0">
      <alignment horizontal="center" vertical="center"/>
    </xf>
    <xf numFmtId="0" fontId="0" fillId="0" borderId="19" applyAlignment="1" pivotButton="0" quotePrefix="0" xfId="0">
      <alignment horizontal="left" vertical="center"/>
    </xf>
    <xf numFmtId="0" fontId="0" fillId="0" borderId="81" applyAlignment="1" pivotButton="0" quotePrefix="0" xfId="0">
      <alignment horizontal="left" vertical="center"/>
    </xf>
    <xf numFmtId="0" fontId="0" fillId="0" borderId="17" applyAlignment="1" pivotButton="0" quotePrefix="0" xfId="0">
      <alignment horizontal="left" vertical="center"/>
    </xf>
    <xf numFmtId="0" fontId="0" fillId="0" borderId="16" applyAlignment="1" pivotButton="0" quotePrefix="0" xfId="0">
      <alignment horizontal="left" vertical="center"/>
    </xf>
    <xf numFmtId="0" fontId="0" fillId="0" borderId="87" applyAlignment="1" pivotButton="0" quotePrefix="0" xfId="0">
      <alignment horizontal="left" vertical="center"/>
    </xf>
    <xf numFmtId="0" fontId="0" fillId="0" borderId="39" applyAlignment="1" pivotButton="0" quotePrefix="0" xfId="0">
      <alignment horizontal="left" vertical="center"/>
    </xf>
    <xf numFmtId="0" fontId="0" fillId="0" borderId="66" applyAlignment="1" pivotButton="0" quotePrefix="0" xfId="0">
      <alignment horizontal="left" vertical="center"/>
    </xf>
    <xf numFmtId="0" fontId="23" fillId="0" borderId="17" applyAlignment="1" pivotButton="0" quotePrefix="0" xfId="0">
      <alignment horizontal="left" vertical="center"/>
    </xf>
    <xf numFmtId="0" fontId="24" fillId="0" borderId="88" applyAlignment="1" pivotButton="0" quotePrefix="0" xfId="0">
      <alignment horizontal="center" vertical="center"/>
    </xf>
    <xf numFmtId="0" fontId="25" fillId="0" borderId="80" applyAlignment="1" pivotButton="0" quotePrefix="0" xfId="0">
      <alignment horizontal="center" vertical="center"/>
    </xf>
    <xf numFmtId="0" fontId="25" fillId="0" borderId="35" applyAlignment="1" pivotButton="0" quotePrefix="0" xfId="0">
      <alignment horizontal="center" vertical="center"/>
    </xf>
    <xf numFmtId="0" fontId="25" fillId="0" borderId="53" applyAlignment="1" pivotButton="0" quotePrefix="0" xfId="0">
      <alignment horizontal="center" vertical="center"/>
    </xf>
    <xf numFmtId="0" fontId="0" fillId="0" borderId="55" applyAlignment="1" pivotButton="0" quotePrefix="0" xfId="0">
      <alignment horizontal="center" vertical="center"/>
    </xf>
    <xf numFmtId="0" fontId="0" fillId="0" borderId="66" applyAlignment="1" pivotButton="0" quotePrefix="0" xfId="0">
      <alignment horizontal="center" vertical="center"/>
    </xf>
    <xf numFmtId="0" fontId="20" fillId="0" borderId="95" applyAlignment="1" pivotButton="0" quotePrefix="0" xfId="0">
      <alignment horizontal="center" vertical="center"/>
    </xf>
    <xf numFmtId="0" fontId="0" fillId="0" borderId="96" applyAlignment="1" pivotButton="0" quotePrefix="0" xfId="0">
      <alignment horizontal="center" vertical="center"/>
    </xf>
    <xf numFmtId="0" fontId="0" fillId="0" borderId="33" applyAlignment="1" pivotButton="0" quotePrefix="0" xfId="0">
      <alignment horizontal="center" vertical="center"/>
    </xf>
    <xf numFmtId="0" fontId="0" fillId="0" borderId="97" applyAlignment="1" pivotButton="0" quotePrefix="0" xfId="0">
      <alignment horizontal="center" vertical="center"/>
    </xf>
    <xf numFmtId="0" fontId="0" fillId="0" borderId="101" applyAlignment="1" pivotButton="0" quotePrefix="0" xfId="0">
      <alignment horizontal="center" vertical="center"/>
    </xf>
    <xf numFmtId="0" fontId="0" fillId="0" borderId="50" applyAlignment="1" pivotButton="0" quotePrefix="0" xfId="0">
      <alignment horizontal="center" vertical="center"/>
    </xf>
    <xf numFmtId="0" fontId="0" fillId="0" borderId="52" applyAlignment="1" pivotButton="0" quotePrefix="0" xfId="0">
      <alignment horizontal="center" vertical="center"/>
    </xf>
    <xf numFmtId="0" fontId="30" fillId="0" borderId="17" applyAlignment="1" pivotButton="0" quotePrefix="0" xfId="0">
      <alignment horizontal="center" vertical="center"/>
    </xf>
    <xf numFmtId="0" fontId="30" fillId="0" borderId="16" applyAlignment="1" pivotButton="0" quotePrefix="0" xfId="0">
      <alignment horizontal="center" vertical="center"/>
    </xf>
    <xf numFmtId="0" fontId="26" fillId="0" borderId="17" applyAlignment="1" pivotButton="0" quotePrefix="0" xfId="0">
      <alignment horizontal="center" vertical="center"/>
    </xf>
    <xf numFmtId="0" fontId="26" fillId="0" borderId="16" applyAlignment="1" pivotButton="0" quotePrefix="0" xfId="0">
      <alignment horizontal="center" vertical="center"/>
    </xf>
    <xf numFmtId="0" fontId="19" fillId="0" borderId="17" applyAlignment="1" pivotButton="0" quotePrefix="0" xfId="0">
      <alignment horizontal="center" vertical="center"/>
    </xf>
    <xf numFmtId="0" fontId="19" fillId="0" borderId="20" applyAlignment="1" pivotButton="0" quotePrefix="0" xfId="0">
      <alignment horizontal="center" vertical="center"/>
    </xf>
    <xf numFmtId="0" fontId="19" fillId="0" borderId="13" applyAlignment="1" pivotButton="0" quotePrefix="0" xfId="0">
      <alignment horizontal="center" vertical="center"/>
    </xf>
    <xf numFmtId="0" fontId="20" fillId="0" borderId="9" applyAlignment="1" pivotButton="0" quotePrefix="0" xfId="0">
      <alignment horizontal="center" vertical="center"/>
    </xf>
    <xf numFmtId="0" fontId="20" fillId="0" borderId="2" applyAlignment="1" pivotButton="0" quotePrefix="0" xfId="0">
      <alignment horizontal="center" vertical="center"/>
    </xf>
    <xf numFmtId="0" fontId="20" fillId="0" borderId="78" applyAlignment="1" pivotButton="0" quotePrefix="0" xfId="0">
      <alignment horizontal="center" vertical="center"/>
    </xf>
    <xf numFmtId="0" fontId="20" fillId="0" borderId="79" applyAlignment="1" pivotButton="0" quotePrefix="0" xfId="0">
      <alignment horizontal="center" vertical="center"/>
    </xf>
    <xf numFmtId="0" fontId="20" fillId="0" borderId="89" applyAlignment="1" pivotButton="0" quotePrefix="0" xfId="0">
      <alignment horizontal="center" vertical="center"/>
    </xf>
    <xf numFmtId="0" fontId="0" fillId="0" borderId="20" applyAlignment="1" pivotButton="0" quotePrefix="0" xfId="0">
      <alignment horizontal="center" vertical="center"/>
    </xf>
    <xf numFmtId="0" fontId="0" fillId="0" borderId="56" applyAlignment="1" pivotButton="0" quotePrefix="0" xfId="0">
      <alignment horizontal="center" vertical="center"/>
    </xf>
    <xf numFmtId="0" fontId="27" fillId="0" borderId="87" applyAlignment="1" pivotButton="0" quotePrefix="0" xfId="0">
      <alignment horizontal="center" vertical="center"/>
    </xf>
    <xf numFmtId="0" fontId="28" fillId="0" borderId="81" applyAlignment="1" pivotButton="0" quotePrefix="0" xfId="0">
      <alignment horizontal="center" vertical="center"/>
    </xf>
    <xf numFmtId="0" fontId="27" fillId="0" borderId="39" applyAlignment="1" pivotButton="0" quotePrefix="0" xfId="0">
      <alignment horizontal="center" vertical="center"/>
    </xf>
    <xf numFmtId="0" fontId="28" fillId="0" borderId="16" applyAlignment="1" pivotButton="0" quotePrefix="0" xfId="0">
      <alignment horizontal="center" vertical="center"/>
    </xf>
    <xf numFmtId="0" fontId="30" fillId="0" borderId="39" applyAlignment="1" pivotButton="0" quotePrefix="0" xfId="0">
      <alignment horizontal="center" vertical="center"/>
    </xf>
    <xf numFmtId="0" fontId="26" fillId="0" borderId="39" applyAlignment="1" pivotButton="0" quotePrefix="0" xfId="0">
      <alignment horizontal="center" vertical="center"/>
    </xf>
    <xf numFmtId="0" fontId="29" fillId="0" borderId="19" applyAlignment="1" pivotButton="0" quotePrefix="0" xfId="0">
      <alignment horizontal="center" vertical="center"/>
    </xf>
    <xf numFmtId="0" fontId="30" fillId="0" borderId="81" applyAlignment="1" pivotButton="0" quotePrefix="0" xfId="0">
      <alignment horizontal="center" vertical="center"/>
    </xf>
    <xf numFmtId="0" fontId="28" fillId="0" borderId="17" applyAlignment="1" pivotButton="0" quotePrefix="0" xfId="0">
      <alignment horizontal="center" vertical="center"/>
    </xf>
    <xf numFmtId="0" fontId="19" fillId="0" borderId="39" applyAlignment="1" pivotButton="0" quotePrefix="0" xfId="0">
      <alignment horizontal="center" vertical="center"/>
    </xf>
    <xf numFmtId="0" fontId="19" fillId="0" borderId="66" applyAlignment="1" pivotButton="0" quotePrefix="0" xfId="0">
      <alignment horizontal="center" vertical="center"/>
    </xf>
    <xf numFmtId="0" fontId="18" fillId="0" borderId="39" applyAlignment="1" pivotButton="0" quotePrefix="0" xfId="0">
      <alignment horizontal="center" vertical="center"/>
    </xf>
    <xf numFmtId="0" fontId="19" fillId="0" borderId="16" applyAlignment="1" pivotButton="0" quotePrefix="0" xfId="0">
      <alignment horizontal="center" vertical="center"/>
    </xf>
    <xf numFmtId="0" fontId="27" fillId="0" borderId="19" applyAlignment="1" pivotButton="0" quotePrefix="0" xfId="0">
      <alignment horizontal="center" vertical="center"/>
    </xf>
    <xf numFmtId="0" fontId="42" fillId="0" borderId="13" applyAlignment="1" applyProtection="1" pivotButton="0" quotePrefix="0" xfId="0">
      <alignment horizontal="center" vertical="center"/>
      <protection locked="0" hidden="0"/>
    </xf>
    <xf numFmtId="0" fontId="42" fillId="0" borderId="30" applyAlignment="1" applyProtection="1" pivotButton="0" quotePrefix="0" xfId="0">
      <alignment horizontal="center" vertical="center"/>
      <protection locked="0" hidden="0"/>
    </xf>
    <xf numFmtId="0" fontId="54" fillId="0" borderId="0" applyAlignment="1" applyProtection="1" pivotButton="0" quotePrefix="0" xfId="0">
      <alignment horizontal="center" vertical="center"/>
      <protection locked="0" hidden="0"/>
    </xf>
    <xf numFmtId="0" fontId="41" fillId="0" borderId="13" applyAlignment="1" applyProtection="1" pivotButton="0" quotePrefix="0" xfId="0">
      <alignment horizontal="center" vertical="center"/>
      <protection locked="0" hidden="0"/>
    </xf>
    <xf numFmtId="0" fontId="46" fillId="0" borderId="0" applyAlignment="1" applyProtection="1" pivotButton="0" quotePrefix="0" xfId="0">
      <alignment horizontal="center"/>
      <protection locked="0" hidden="0"/>
    </xf>
    <xf numFmtId="0" fontId="44" fillId="0" borderId="0" applyAlignment="1" applyProtection="1" pivotButton="0" quotePrefix="0" xfId="0">
      <alignment horizontal="center" vertical="center"/>
      <protection locked="0" hidden="0"/>
    </xf>
    <xf numFmtId="0" fontId="41" fillId="4" borderId="13" applyAlignment="1" applyProtection="1" pivotButton="0" quotePrefix="0" xfId="0">
      <alignment horizontal="center" vertical="center"/>
      <protection locked="0" hidden="0"/>
    </xf>
    <xf numFmtId="0" fontId="52" fillId="3" borderId="117" applyAlignment="1" applyProtection="1" pivotButton="0" quotePrefix="0" xfId="0">
      <alignment horizontal="center" vertical="center"/>
      <protection locked="0" hidden="0"/>
    </xf>
    <xf numFmtId="0" fontId="52" fillId="3" borderId="103" applyAlignment="1" applyProtection="1" pivotButton="0" quotePrefix="0" xfId="0">
      <alignment horizontal="center" vertical="center"/>
      <protection locked="0" hidden="0"/>
    </xf>
    <xf numFmtId="0" fontId="52" fillId="3" borderId="119" applyAlignment="1" applyProtection="1" pivotButton="0" quotePrefix="0" xfId="0">
      <alignment horizontal="center" vertical="center"/>
      <protection locked="0" hidden="0"/>
    </xf>
    <xf numFmtId="0" fontId="52" fillId="3" borderId="13" applyAlignment="1" applyProtection="1" pivotButton="0" quotePrefix="0" xfId="0">
      <alignment horizontal="center" vertical="center"/>
      <protection locked="0" hidden="0"/>
    </xf>
    <xf numFmtId="0" fontId="52" fillId="3" borderId="120" applyAlignment="1" applyProtection="1" pivotButton="0" quotePrefix="0" xfId="0">
      <alignment horizontal="center" vertical="center"/>
      <protection locked="0" hidden="0"/>
    </xf>
    <xf numFmtId="0" fontId="52" fillId="3" borderId="80" applyAlignment="1" applyProtection="1" pivotButton="0" quotePrefix="0" xfId="0">
      <alignment horizontal="center" vertical="center"/>
      <protection locked="0" hidden="0"/>
    </xf>
    <xf numFmtId="0" fontId="55" fillId="0" borderId="129" applyAlignment="1" applyProtection="1" pivotButton="0" quotePrefix="0" xfId="0">
      <alignment horizontal="center" vertical="center"/>
      <protection locked="0" hidden="0"/>
    </xf>
    <xf numFmtId="0" fontId="41" fillId="0" borderId="119" applyAlignment="1" applyProtection="1" pivotButton="0" quotePrefix="0" xfId="0">
      <alignment horizontal="center" vertical="center"/>
      <protection locked="0" hidden="0"/>
    </xf>
    <xf numFmtId="175" fontId="41" fillId="0" borderId="80" applyAlignment="1" pivotButton="0" quotePrefix="0" xfId="0">
      <alignment horizontal="center" vertical="center"/>
    </xf>
    <xf numFmtId="175" fontId="41" fillId="0" borderId="121" applyAlignment="1" pivotButton="0" quotePrefix="0" xfId="0">
      <alignment horizontal="center" vertical="center"/>
    </xf>
    <xf numFmtId="0" fontId="41" fillId="4" borderId="119" applyAlignment="1" applyProtection="1" pivotButton="0" quotePrefix="0" xfId="0">
      <alignment horizontal="center" vertical="center"/>
      <protection locked="0" hidden="0"/>
    </xf>
    <xf numFmtId="0" fontId="42" fillId="0" borderId="80" applyAlignment="1" applyProtection="1" pivotButton="0" quotePrefix="0" xfId="0">
      <alignment horizontal="center" vertical="center"/>
      <protection locked="0" hidden="0"/>
    </xf>
    <xf numFmtId="0" fontId="42" fillId="0" borderId="121" applyAlignment="1" applyProtection="1" pivotButton="0" quotePrefix="0" xfId="0">
      <alignment horizontal="center" vertical="center"/>
      <protection locked="0" hidden="0"/>
    </xf>
    <xf numFmtId="0" fontId="48" fillId="0" borderId="0" applyAlignment="1" applyProtection="1" pivotButton="0" quotePrefix="0" xfId="0">
      <alignment horizontal="center" vertical="center"/>
      <protection locked="0" hidden="0"/>
    </xf>
    <xf numFmtId="175" fontId="41" fillId="0" borderId="13" applyAlignment="1" pivotButton="0" quotePrefix="0" xfId="0">
      <alignment horizontal="center" vertical="center"/>
    </xf>
    <xf numFmtId="175" fontId="41" fillId="0" borderId="30" applyAlignment="1" pivotButton="0" quotePrefix="0" xfId="0">
      <alignment horizontal="center" vertical="center"/>
    </xf>
    <xf numFmtId="0" fontId="37" fillId="0" borderId="0" applyAlignment="1" applyProtection="1" pivotButton="0" quotePrefix="0" xfId="0">
      <alignment horizontal="left" vertical="center"/>
      <protection locked="0" hidden="0"/>
    </xf>
    <xf numFmtId="0" fontId="45" fillId="0" borderId="2" applyAlignment="1" applyProtection="1" pivotButton="0" quotePrefix="0" xfId="0">
      <alignment horizontal="center" vertical="center" wrapText="1"/>
      <protection locked="0" hidden="0"/>
    </xf>
    <xf numFmtId="181" fontId="43" fillId="0" borderId="0" applyAlignment="1" pivotButton="0" quotePrefix="0" xfId="1">
      <alignment horizontal="left" vertical="center"/>
    </xf>
    <xf numFmtId="0" fontId="38" fillId="0" borderId="4" applyAlignment="1" applyProtection="1" pivotButton="0" quotePrefix="0" xfId="0">
      <alignment horizontal="left" vertical="center"/>
      <protection locked="0" hidden="0"/>
    </xf>
    <xf numFmtId="182" fontId="55" fillId="0" borderId="129" applyAlignment="1" pivotButton="0" quotePrefix="0" xfId="2">
      <alignment horizontal="center" vertical="center"/>
    </xf>
    <xf numFmtId="0" fontId="52" fillId="3" borderId="115" applyAlignment="1" applyProtection="1" pivotButton="0" quotePrefix="0" xfId="0">
      <alignment horizontal="center" vertical="center"/>
      <protection locked="0" hidden="0"/>
    </xf>
    <xf numFmtId="0" fontId="52" fillId="3" borderId="96" applyAlignment="1" applyProtection="1" pivotButton="0" quotePrefix="0" xfId="0">
      <alignment horizontal="center" vertical="center"/>
      <protection locked="0" hidden="0"/>
    </xf>
    <xf numFmtId="0" fontId="39" fillId="0" borderId="7" applyAlignment="1" applyProtection="1" pivotButton="0" quotePrefix="0" xfId="0">
      <alignment horizontal="left" vertical="center"/>
      <protection locked="0" hidden="0"/>
    </xf>
    <xf numFmtId="0" fontId="41" fillId="0" borderId="122" applyAlignment="1" applyProtection="1" pivotButton="0" quotePrefix="0" xfId="0">
      <alignment horizontal="center" vertical="center"/>
      <protection locked="0" hidden="0"/>
    </xf>
    <xf numFmtId="0" fontId="41" fillId="0" borderId="15" applyAlignment="1" applyProtection="1" pivotButton="0" quotePrefix="0" xfId="0">
      <alignment horizontal="center" vertical="center"/>
      <protection locked="0" hidden="0"/>
    </xf>
    <xf numFmtId="0" fontId="47" fillId="0" borderId="0" applyAlignment="1" pivotButton="0" quotePrefix="0" xfId="0">
      <alignment horizontal="center" vertical="center"/>
    </xf>
    <xf numFmtId="14" fontId="39" fillId="0" borderId="10" applyAlignment="1" applyProtection="1" pivotButton="0" quotePrefix="0" xfId="0">
      <alignment horizontal="left" vertical="center"/>
      <protection locked="0" hidden="0"/>
    </xf>
    <xf numFmtId="0" fontId="37" fillId="0" borderId="7" applyAlignment="1" applyProtection="1" pivotButton="0" quotePrefix="0" xfId="0">
      <alignment horizontal="right" vertical="center"/>
      <protection locked="0" hidden="0"/>
    </xf>
    <xf numFmtId="0" fontId="48" fillId="0" borderId="0" applyAlignment="1" pivotButton="0" quotePrefix="0" xfId="0">
      <alignment horizontal="center" vertical="center" wrapText="1"/>
    </xf>
    <xf numFmtId="0" fontId="40" fillId="0" borderId="0" applyAlignment="1" applyProtection="1" pivotButton="0" quotePrefix="0" xfId="0">
      <alignment horizontal="left" vertical="center"/>
      <protection locked="0" hidden="0"/>
    </xf>
    <xf numFmtId="0" fontId="41" fillId="0" borderId="80" applyAlignment="1" applyProtection="1" pivotButton="0" quotePrefix="0" xfId="0">
      <alignment horizontal="center" vertical="center"/>
      <protection locked="0" hidden="0"/>
    </xf>
    <xf numFmtId="0" fontId="42" fillId="0" borderId="13" applyAlignment="1" applyProtection="1" pivotButton="0" quotePrefix="0" xfId="0">
      <alignment horizontal="left" vertical="center"/>
      <protection locked="0" hidden="0"/>
    </xf>
    <xf numFmtId="0" fontId="42" fillId="0" borderId="30" applyAlignment="1" applyProtection="1" pivotButton="0" quotePrefix="0" xfId="0">
      <alignment horizontal="left" vertical="center"/>
      <protection locked="0" hidden="0"/>
    </xf>
    <xf numFmtId="0" fontId="41" fillId="0" borderId="120" applyAlignment="1" applyProtection="1" pivotButton="0" quotePrefix="0" xfId="0">
      <alignment horizontal="center" vertical="center"/>
      <protection locked="0" hidden="0"/>
    </xf>
    <xf numFmtId="0" fontId="42" fillId="0" borderId="103" applyAlignment="1" applyProtection="1" pivotButton="0" quotePrefix="0" xfId="0">
      <alignment horizontal="left" vertical="center"/>
      <protection locked="0" hidden="0"/>
    </xf>
    <xf numFmtId="0" fontId="42" fillId="0" borderId="118" applyAlignment="1" applyProtection="1" pivotButton="0" quotePrefix="0" xfId="0">
      <alignment horizontal="left" vertical="center"/>
      <protection locked="0" hidden="0"/>
    </xf>
    <xf numFmtId="0" fontId="43" fillId="0" borderId="0" applyAlignment="1" applyProtection="1" pivotButton="0" quotePrefix="0" xfId="0">
      <alignment vertical="center"/>
      <protection locked="0" hidden="0"/>
    </xf>
    <xf numFmtId="175" fontId="41" fillId="0" borderId="15" applyAlignment="1" pivotButton="0" quotePrefix="0" xfId="0">
      <alignment horizontal="center" vertical="center"/>
    </xf>
    <xf numFmtId="175" fontId="41" fillId="0" borderId="123" applyAlignment="1" pivotButton="0" quotePrefix="0" xfId="0">
      <alignment horizontal="center" vertical="center"/>
    </xf>
    <xf numFmtId="0" fontId="0" fillId="0" borderId="108" applyAlignment="1" applyProtection="1" pivotButton="0" quotePrefix="0" xfId="0">
      <alignment horizontal="center"/>
      <protection locked="0" hidden="0"/>
    </xf>
    <xf numFmtId="0" fontId="0" fillId="0" borderId="104" applyAlignment="1" applyProtection="1" pivotButton="0" quotePrefix="0" xfId="0">
      <alignment horizontal="center"/>
      <protection locked="0" hidden="0"/>
    </xf>
    <xf numFmtId="0" fontId="0" fillId="0" borderId="109" applyAlignment="1" applyProtection="1" pivotButton="0" quotePrefix="0" xfId="0">
      <alignment horizontal="center"/>
      <protection locked="0" hidden="0"/>
    </xf>
    <xf numFmtId="0" fontId="0" fillId="0" borderId="110" applyAlignment="1" applyProtection="1" pivotButton="0" quotePrefix="0" xfId="0">
      <alignment horizontal="center"/>
      <protection locked="0" hidden="0"/>
    </xf>
    <xf numFmtId="0" fontId="0" fillId="0" borderId="32" applyAlignment="1" applyProtection="1" pivotButton="0" quotePrefix="0" xfId="0">
      <alignment horizontal="center"/>
      <protection locked="0" hidden="0"/>
    </xf>
    <xf numFmtId="0" fontId="0" fillId="0" borderId="111" applyAlignment="1" applyProtection="1" pivotButton="0" quotePrefix="0" xfId="0">
      <alignment horizontal="center"/>
      <protection locked="0" hidden="0"/>
    </xf>
    <xf numFmtId="0" fontId="0" fillId="0" borderId="112" applyAlignment="1" applyProtection="1" pivotButton="0" quotePrefix="0" xfId="0">
      <alignment horizontal="center"/>
      <protection locked="0" hidden="0"/>
    </xf>
    <xf numFmtId="0" fontId="0" fillId="0" borderId="113" applyAlignment="1" applyProtection="1" pivotButton="0" quotePrefix="0" xfId="0">
      <alignment horizontal="center"/>
      <protection locked="0" hidden="0"/>
    </xf>
    <xf numFmtId="0" fontId="0" fillId="0" borderId="114" applyAlignment="1" applyProtection="1" pivotButton="0" quotePrefix="0" xfId="0">
      <alignment horizontal="center"/>
      <protection locked="0" hidden="0"/>
    </xf>
    <xf numFmtId="0" fontId="52" fillId="3" borderId="1" applyAlignment="1" applyProtection="1" pivotButton="0" quotePrefix="0" xfId="0">
      <alignment horizontal="center" vertical="center"/>
      <protection locked="0" hidden="0"/>
    </xf>
    <xf numFmtId="0" fontId="57" fillId="3" borderId="3" applyProtection="1" pivotButton="0" quotePrefix="0" xfId="0">
      <protection locked="0" hidden="0"/>
    </xf>
    <xf numFmtId="0" fontId="57" fillId="3" borderId="5" applyProtection="1" pivotButton="0" quotePrefix="0" xfId="0">
      <protection locked="0" hidden="0"/>
    </xf>
    <xf numFmtId="0" fontId="57" fillId="3" borderId="6" applyProtection="1" pivotButton="0" quotePrefix="0" xfId="0">
      <protection locked="0" hidden="0"/>
    </xf>
    <xf numFmtId="0" fontId="57" fillId="3" borderId="106" applyProtection="1" pivotButton="0" quotePrefix="0" xfId="0">
      <protection locked="0" hidden="0"/>
    </xf>
    <xf numFmtId="0" fontId="57" fillId="3" borderId="107" applyProtection="1" pivotButton="0" quotePrefix="0" xfId="0">
      <protection locked="0" hidden="0"/>
    </xf>
    <xf numFmtId="0" fontId="4" fillId="0" borderId="2" applyAlignment="1" applyProtection="1" pivotButton="0" quotePrefix="0" xfId="0">
      <alignment vertical="center"/>
      <protection locked="0" hidden="0"/>
    </xf>
    <xf numFmtId="0" fontId="0" fillId="0" borderId="2" applyProtection="1" pivotButton="0" quotePrefix="0" xfId="0">
      <protection locked="0" hidden="0"/>
    </xf>
    <xf numFmtId="0" fontId="58" fillId="0" borderId="0" applyProtection="1" pivotButton="0" quotePrefix="0" xfId="0">
      <protection locked="0" hidden="0"/>
    </xf>
    <xf numFmtId="0" fontId="52" fillId="3" borderId="124" applyAlignment="1" applyProtection="1" pivotButton="0" quotePrefix="0" xfId="0">
      <alignment horizontal="center" vertical="center"/>
      <protection locked="0" hidden="0"/>
    </xf>
    <xf numFmtId="0" fontId="52" fillId="3" borderId="125" applyAlignment="1" applyProtection="1" pivotButton="0" quotePrefix="0" xfId="0">
      <alignment horizontal="center" vertical="center"/>
      <protection locked="0" hidden="0"/>
    </xf>
    <xf numFmtId="0" fontId="52" fillId="3" borderId="126" applyAlignment="1" applyProtection="1" pivotButton="0" quotePrefix="0" xfId="0">
      <alignment horizontal="center" vertical="center"/>
      <protection locked="0" hidden="0"/>
    </xf>
    <xf numFmtId="0" fontId="60" fillId="0" borderId="104" applyAlignment="1" applyProtection="1" pivotButton="0" quotePrefix="0" xfId="0">
      <alignment vertical="center"/>
      <protection locked="0" hidden="0"/>
    </xf>
    <xf numFmtId="0" fontId="60" fillId="0" borderId="102" applyAlignment="1" applyProtection="1" pivotButton="0" quotePrefix="0" xfId="0">
      <alignment vertical="center"/>
      <protection locked="0" hidden="0"/>
    </xf>
    <xf numFmtId="0" fontId="60" fillId="0" borderId="32" applyAlignment="1" applyProtection="1" pivotButton="0" quotePrefix="0" xfId="0">
      <alignment vertical="center"/>
      <protection locked="0" hidden="0"/>
    </xf>
    <xf numFmtId="0" fontId="60" fillId="0" borderId="17" applyAlignment="1" applyProtection="1" pivotButton="0" quotePrefix="0" xfId="0">
      <alignment vertical="center"/>
      <protection locked="0" hidden="0"/>
    </xf>
    <xf numFmtId="0" fontId="60" fillId="0" borderId="113" applyAlignment="1" applyProtection="1" pivotButton="0" quotePrefix="0" xfId="0">
      <alignment vertical="center"/>
      <protection locked="0" hidden="0"/>
    </xf>
    <xf numFmtId="0" fontId="60" fillId="0" borderId="127" applyAlignment="1" applyProtection="1" pivotButton="0" quotePrefix="0" xfId="0">
      <alignment vertical="center"/>
      <protection locked="0" hidden="0"/>
    </xf>
    <xf numFmtId="0" fontId="59" fillId="0" borderId="129" applyAlignment="1" applyProtection="1" pivotButton="0" quotePrefix="0" xfId="0">
      <alignment horizontal="center" vertical="center"/>
      <protection locked="0" hidden="0"/>
    </xf>
    <xf numFmtId="0" fontId="60" fillId="0" borderId="105" applyAlignment="1" applyProtection="1" pivotButton="0" quotePrefix="0" xfId="0">
      <alignment horizontal="center" vertical="center"/>
      <protection locked="0" hidden="0"/>
    </xf>
    <xf numFmtId="0" fontId="60" fillId="0" borderId="102" applyAlignment="1" applyProtection="1" pivotButton="0" quotePrefix="0" xfId="0">
      <alignment horizontal="center" vertical="center"/>
      <protection locked="0" hidden="0"/>
    </xf>
    <xf numFmtId="0" fontId="60" fillId="0" borderId="16" applyAlignment="1" applyProtection="1" pivotButton="0" quotePrefix="0" xfId="0">
      <alignment horizontal="center" vertical="center"/>
      <protection locked="0" hidden="0"/>
    </xf>
    <xf numFmtId="0" fontId="60" fillId="0" borderId="17" applyAlignment="1" applyProtection="1" pivotButton="0" quotePrefix="0" xfId="0">
      <alignment horizontal="center" vertical="center"/>
      <protection locked="0" hidden="0"/>
    </xf>
    <xf numFmtId="0" fontId="60" fillId="0" borderId="128" applyAlignment="1" applyProtection="1" pivotButton="0" quotePrefix="0" xfId="0">
      <alignment horizontal="center" vertical="center"/>
      <protection locked="0" hidden="0"/>
    </xf>
    <xf numFmtId="0" fontId="60" fillId="0" borderId="127" applyAlignment="1" applyProtection="1" pivotButton="0" quotePrefix="0" xfId="0">
      <alignment horizontal="center" vertical="center"/>
      <protection locked="0" hidden="0"/>
    </xf>
    <xf numFmtId="0" fontId="62" fillId="0" borderId="0" applyAlignment="1" applyProtection="1" pivotButton="0" quotePrefix="0" xfId="0">
      <alignment horizontal="left" vertical="top" wrapText="1"/>
      <protection locked="0" hidden="0"/>
    </xf>
    <xf numFmtId="0" fontId="65" fillId="0" borderId="0" applyAlignment="1" applyProtection="1" pivotButton="0" quotePrefix="0" xfId="0">
      <alignment horizontal="left" vertical="top"/>
      <protection locked="0" hidden="0"/>
    </xf>
    <xf numFmtId="0" fontId="63" fillId="0" borderId="0" applyAlignment="1" applyProtection="1" pivotButton="0" quotePrefix="0" xfId="0">
      <alignment horizontal="left" vertical="top" wrapText="1"/>
      <protection locked="0" hidden="0"/>
    </xf>
    <xf numFmtId="0" fontId="67" fillId="0" borderId="0" applyAlignment="1" applyProtection="1" pivotButton="0" quotePrefix="0" xfId="0">
      <alignment horizontal="left" vertical="top"/>
      <protection locked="0" hidden="0"/>
    </xf>
    <xf numFmtId="0" fontId="68" fillId="0" borderId="0" applyAlignment="1" pivotButton="0" quotePrefix="0" xfId="0">
      <alignment horizontal="left" vertical="center"/>
    </xf>
    <xf numFmtId="0" fontId="68" fillId="0" borderId="132" applyAlignment="1" pivotButton="0" quotePrefix="0" xfId="0">
      <alignment horizontal="center" vertical="center"/>
    </xf>
    <xf numFmtId="0" fontId="68" fillId="0" borderId="131" applyAlignment="1" pivotButton="0" quotePrefix="0" xfId="0">
      <alignment horizontal="center" vertical="center"/>
    </xf>
    <xf numFmtId="0" fontId="68" fillId="0" borderId="130" applyAlignment="1" pivotButton="0" quotePrefix="0" xfId="0">
      <alignment horizontal="center" vertical="center"/>
    </xf>
    <xf numFmtId="0" fontId="72" fillId="0" borderId="0" applyAlignment="1" pivotButton="0" quotePrefix="0" xfId="0">
      <alignment horizontal="center" vertical="center"/>
    </xf>
    <xf numFmtId="0" fontId="71" fillId="0" borderId="0" applyAlignment="1" pivotButton="0" quotePrefix="0" xfId="0">
      <alignment horizontal="center" vertical="center"/>
    </xf>
    <xf numFmtId="0" fontId="70" fillId="0" borderId="140" applyAlignment="1" pivotButton="0" quotePrefix="0" xfId="0">
      <alignment horizontal="left" vertical="center" wrapText="1"/>
    </xf>
    <xf numFmtId="0" fontId="69" fillId="0" borderId="139" applyAlignment="1" pivotButton="0" quotePrefix="0" xfId="0">
      <alignment horizontal="left" vertical="center"/>
    </xf>
    <xf numFmtId="0" fontId="69" fillId="0" borderId="138" applyAlignment="1" pivotButton="0" quotePrefix="0" xfId="0">
      <alignment horizontal="left" vertical="center"/>
    </xf>
    <xf numFmtId="0" fontId="69" fillId="0" borderId="137" applyAlignment="1" pivotButton="0" quotePrefix="0" xfId="0">
      <alignment horizontal="left" vertical="center"/>
    </xf>
    <xf numFmtId="0" fontId="69" fillId="0" borderId="0" applyAlignment="1" pivotButton="0" quotePrefix="0" xfId="0">
      <alignment horizontal="left" vertical="center"/>
    </xf>
    <xf numFmtId="0" fontId="69" fillId="0" borderId="136" applyAlignment="1" pivotButton="0" quotePrefix="0" xfId="0">
      <alignment horizontal="left" vertical="center"/>
    </xf>
    <xf numFmtId="0" fontId="69" fillId="0" borderId="135" applyAlignment="1" pivotButton="0" quotePrefix="0" xfId="0">
      <alignment horizontal="left" vertical="center"/>
    </xf>
    <xf numFmtId="0" fontId="69" fillId="0" borderId="134" applyAlignment="1" pivotButton="0" quotePrefix="0" xfId="0">
      <alignment horizontal="left" vertical="center"/>
    </xf>
    <xf numFmtId="0" fontId="69" fillId="0" borderId="133" applyAlignment="1" pivotButton="0" quotePrefix="0" xfId="0">
      <alignment horizontal="left" vertical="center"/>
    </xf>
    <xf numFmtId="175" fontId="83" fillId="0" borderId="0" applyAlignment="1" pivotButton="0" quotePrefix="0" xfId="3">
      <alignment horizontal="left" vertical="center"/>
    </xf>
    <xf numFmtId="175" fontId="73" fillId="0" borderId="0" applyAlignment="1" pivotButton="0" quotePrefix="0" xfId="5">
      <alignment horizontal="center" vertical="center"/>
    </xf>
    <xf numFmtId="175" fontId="77" fillId="0" borderId="0" applyAlignment="1" pivotButton="0" quotePrefix="0" xfId="3">
      <alignment horizontal="left" vertical="center" wrapText="1"/>
    </xf>
    <xf numFmtId="175" fontId="75" fillId="0" borderId="0" applyAlignment="1" pivotButton="0" quotePrefix="0" xfId="3">
      <alignment horizontal="left" vertical="center"/>
    </xf>
    <xf numFmtId="172" fontId="78" fillId="0" borderId="0" applyAlignment="1" pivotButton="0" quotePrefix="0" xfId="3">
      <alignment horizontal="left" vertical="center"/>
    </xf>
    <xf numFmtId="172" fontId="75" fillId="0" borderId="0" applyAlignment="1" pivotButton="0" quotePrefix="0" xfId="3">
      <alignment horizontal="left" vertical="center"/>
    </xf>
    <xf numFmtId="172" fontId="74" fillId="0" borderId="0" applyAlignment="1" pivotButton="0" quotePrefix="0" xfId="3">
      <alignment horizontal="left" vertical="center"/>
    </xf>
    <xf numFmtId="172" fontId="77" fillId="0" borderId="0" applyAlignment="1" pivotButton="0" quotePrefix="0" xfId="3">
      <alignment horizontal="left" vertical="center"/>
    </xf>
    <xf numFmtId="175" fontId="82" fillId="0" borderId="0" applyAlignment="1" pivotButton="0" quotePrefix="0" xfId="0">
      <alignment horizontal="left" vertical="center"/>
    </xf>
    <xf numFmtId="0" fontId="68" fillId="0" borderId="124" applyAlignment="1" pivotButton="0" quotePrefix="0" xfId="0">
      <alignment horizontal="center" vertical="center"/>
    </xf>
    <xf numFmtId="0" fontId="68" fillId="0" borderId="126" applyAlignment="1" pivotButton="0" quotePrefix="0" xfId="0">
      <alignment horizontal="center" vertical="center"/>
    </xf>
    <xf numFmtId="0" fontId="68" fillId="0" borderId="125" applyAlignment="1" pivotButton="0" quotePrefix="0" xfId="0">
      <alignment horizontal="center" vertical="center"/>
    </xf>
    <xf numFmtId="14" fontId="68" fillId="0" borderId="2" applyAlignment="1" pivotButton="0" quotePrefix="0" xfId="0">
      <alignment horizontal="left" vertical="center"/>
    </xf>
    <xf numFmtId="0" fontId="68" fillId="0" borderId="2" applyAlignment="1" pivotButton="0" quotePrefix="0" xfId="0">
      <alignment horizontal="left" vertical="center"/>
    </xf>
    <xf numFmtId="0" fontId="68" fillId="0" borderId="2" applyAlignment="1" pivotButton="0" quotePrefix="0" xfId="0">
      <alignment horizontal="center" vertical="center"/>
    </xf>
    <xf numFmtId="0" fontId="85" fillId="0" borderId="0" applyAlignment="1" pivotButton="0" quotePrefix="0" xfId="0">
      <alignment horizontal="center" vertical="center"/>
    </xf>
    <xf numFmtId="0" fontId="68" fillId="0" borderId="141" applyAlignment="1" pivotButton="0" quotePrefix="0" xfId="0">
      <alignment horizontal="center" vertical="center"/>
    </xf>
    <xf numFmtId="0" fontId="68" fillId="0" borderId="3" applyAlignment="1" pivotButton="0" quotePrefix="0" xfId="0">
      <alignment horizontal="center" vertical="center"/>
    </xf>
    <xf numFmtId="0" fontId="68" fillId="0" borderId="5" applyAlignment="1" pivotButton="0" quotePrefix="0" xfId="0">
      <alignment horizontal="center" vertical="center"/>
    </xf>
    <xf numFmtId="0" fontId="68" fillId="0" borderId="6" applyAlignment="1" pivotButton="0" quotePrefix="0" xfId="0">
      <alignment horizontal="center" vertical="center"/>
    </xf>
    <xf numFmtId="0" fontId="68" fillId="0" borderId="106" applyAlignment="1" pivotButton="0" quotePrefix="0" xfId="0">
      <alignment horizontal="center" vertical="center"/>
    </xf>
    <xf numFmtId="0" fontId="68" fillId="0" borderId="107" applyAlignment="1" pivotButton="0" quotePrefix="0" xfId="0">
      <alignment horizontal="center" vertical="center"/>
    </xf>
    <xf numFmtId="0" fontId="68" fillId="0" borderId="141" applyAlignment="1" pivotButton="0" quotePrefix="0" xfId="0">
      <alignment horizontal="left" vertical="center"/>
    </xf>
    <xf numFmtId="0" fontId="68" fillId="0" borderId="4" applyAlignment="1" pivotButton="0" quotePrefix="0" xfId="0">
      <alignment horizontal="left" vertical="center"/>
    </xf>
    <xf numFmtId="0" fontId="68" fillId="0" borderId="3" applyAlignment="1" pivotButton="0" quotePrefix="0" xfId="0">
      <alignment horizontal="left" vertical="center"/>
    </xf>
    <xf numFmtId="0" fontId="68" fillId="0" borderId="5" applyAlignment="1" pivotButton="0" quotePrefix="0" xfId="0">
      <alignment horizontal="left" vertical="center"/>
    </xf>
    <xf numFmtId="0" fontId="68" fillId="0" borderId="6" applyAlignment="1" pivotButton="0" quotePrefix="0" xfId="0">
      <alignment horizontal="left" vertical="center"/>
    </xf>
    <xf numFmtId="0" fontId="68" fillId="0" borderId="106" applyAlignment="1" pivotButton="0" quotePrefix="0" xfId="0">
      <alignment horizontal="left" vertical="center"/>
    </xf>
    <xf numFmtId="0" fontId="68" fillId="0" borderId="107" applyAlignment="1" pivotButton="0" quotePrefix="0" xfId="0">
      <alignment horizontal="left" vertical="center"/>
    </xf>
    <xf numFmtId="0" fontId="68" fillId="0" borderId="0" applyAlignment="1" pivotButton="0" quotePrefix="0" xfId="0">
      <alignment horizontal="center" vertical="center"/>
    </xf>
    <xf numFmtId="0" fontId="88" fillId="0" borderId="0" applyAlignment="1" pivotButton="0" quotePrefix="0" xfId="0">
      <alignment horizontal="center" vertical="center"/>
    </xf>
    <xf numFmtId="0" fontId="89" fillId="0" borderId="0" applyAlignment="1" pivotButton="0" quotePrefix="0" xfId="0">
      <alignment horizontal="right" vertical="center"/>
    </xf>
    <xf numFmtId="0" fontId="90" fillId="0" borderId="0" applyAlignment="1" pivotButton="0" quotePrefix="0" xfId="0">
      <alignment horizontal="left" vertical="center" wrapText="1"/>
    </xf>
    <xf numFmtId="0" fontId="90" fillId="0" borderId="0" applyAlignment="1" pivotButton="0" quotePrefix="0" xfId="0">
      <alignment horizontal="center" vertical="center" wrapText="1"/>
    </xf>
    <xf numFmtId="0" fontId="68" fillId="0" borderId="0" applyAlignment="1" pivotButton="0" quotePrefix="0" xfId="0">
      <alignment horizontal="right" vertical="center"/>
    </xf>
    <xf numFmtId="0" fontId="90" fillId="0" borderId="0" applyAlignment="1" pivotButton="0" quotePrefix="0" xfId="0">
      <alignment horizontal="center" vertical="center"/>
    </xf>
    <xf numFmtId="0" fontId="87" fillId="0" borderId="0" applyAlignment="1" pivotButton="0" quotePrefix="0" xfId="0">
      <alignment horizontal="distributed" vertical="center"/>
    </xf>
    <xf numFmtId="0" fontId="87" fillId="0" borderId="0" applyAlignment="1" pivotButton="0" quotePrefix="0" xfId="0">
      <alignment horizontal="left" vertical="center"/>
    </xf>
    <xf numFmtId="0" fontId="68" fillId="0" borderId="0" applyAlignment="1" pivotButton="0" quotePrefix="0" xfId="0">
      <alignment horizontal="right" vertical="center" wrapText="1" readingOrder="1"/>
    </xf>
    <xf numFmtId="0" fontId="91" fillId="0" borderId="0" applyAlignment="1" pivotButton="0" quotePrefix="0" xfId="6">
      <alignment horizontal="left" vertical="center"/>
    </xf>
    <xf numFmtId="0" fontId="68" fillId="0" borderId="0" applyAlignment="1" pivotButton="0" quotePrefix="0" xfId="0">
      <alignment vertical="center"/>
    </xf>
    <xf numFmtId="56" fontId="87" fillId="0" borderId="0" applyAlignment="1" pivotButton="0" quotePrefix="0" xfId="0">
      <alignment horizontal="left" vertical="center"/>
    </xf>
    <xf numFmtId="0" fontId="87" fillId="0" borderId="1" applyAlignment="1" pivotButton="0" quotePrefix="0" xfId="0">
      <alignment horizontal="center" vertical="center"/>
    </xf>
    <xf numFmtId="0" fontId="87" fillId="0" borderId="132" applyAlignment="1" pivotButton="0" quotePrefix="0" xfId="0">
      <alignment horizontal="center" vertical="center"/>
    </xf>
    <xf numFmtId="0" fontId="87" fillId="0" borderId="1" applyAlignment="1" pivotButton="0" quotePrefix="0" xfId="0">
      <alignment horizontal="left" vertical="center" wrapText="1"/>
    </xf>
    <xf numFmtId="0" fontId="87" fillId="0" borderId="124" applyAlignment="1" pivotButton="0" quotePrefix="0" xfId="0">
      <alignment horizontal="left" vertical="center" wrapText="1"/>
    </xf>
    <xf numFmtId="0" fontId="87" fillId="0" borderId="141" applyAlignment="1" pivotButton="0" quotePrefix="0" xfId="0">
      <alignment horizontal="left" vertical="center" wrapText="1"/>
    </xf>
    <xf numFmtId="0" fontId="87" fillId="0" borderId="4" applyAlignment="1" pivotButton="0" quotePrefix="0" xfId="0">
      <alignment horizontal="left" vertical="center" wrapText="1"/>
    </xf>
    <xf numFmtId="0" fontId="87" fillId="0" borderId="126" applyAlignment="1" pivotButton="0" quotePrefix="0" xfId="0">
      <alignment horizontal="left" vertical="center" wrapText="1"/>
    </xf>
    <xf numFmtId="0" fontId="87" fillId="0" borderId="1" applyAlignment="1" pivotButton="0" quotePrefix="0" xfId="0">
      <alignment horizontal="center" vertical="center" wrapText="1"/>
    </xf>
    <xf numFmtId="0" fontId="87" fillId="0" borderId="106" applyAlignment="1" pivotButton="0" quotePrefix="0" xfId="0">
      <alignment horizontal="left" vertical="center" wrapText="1"/>
    </xf>
    <xf numFmtId="0" fontId="87" fillId="0" borderId="2" applyAlignment="1" pivotButton="0" quotePrefix="0" xfId="0">
      <alignment horizontal="left" vertical="center" wrapText="1"/>
    </xf>
    <xf numFmtId="0" fontId="0" fillId="0" borderId="0" applyAlignment="1" pivotButton="0" quotePrefix="0" xfId="0">
      <alignment horizontal="center" vertical="center"/>
    </xf>
    <xf numFmtId="0" fontId="0" fillId="0" borderId="163" applyProtection="1" pivotButton="0" quotePrefix="0" xfId="0">
      <protection locked="0" hidden="0"/>
    </xf>
    <xf numFmtId="0" fontId="0" fillId="0" borderId="164" applyProtection="1" pivotButton="0" quotePrefix="0" xfId="0">
      <protection locked="0" hidden="0"/>
    </xf>
    <xf numFmtId="0" fontId="0" fillId="0" borderId="17" pivotButton="0" quotePrefix="0" xfId="0"/>
    <xf numFmtId="0" fontId="0" fillId="0" borderId="167" applyProtection="1" pivotButton="0" quotePrefix="0" xfId="0">
      <protection locked="0" hidden="0"/>
    </xf>
    <xf numFmtId="0" fontId="0" fillId="0" borderId="168" applyProtection="1" pivotButton="0" quotePrefix="0" xfId="0">
      <protection locked="0" hidden="0"/>
    </xf>
    <xf numFmtId="0" fontId="0" fillId="0" borderId="17" applyProtection="1" pivotButton="0" quotePrefix="0" xfId="0">
      <protection locked="0" hidden="0"/>
    </xf>
    <xf numFmtId="0" fontId="0" fillId="0" borderId="174" pivotButton="0" quotePrefix="0" xfId="0"/>
    <xf numFmtId="0" fontId="0" fillId="0" borderId="169" applyProtection="1" pivotButton="0" quotePrefix="0" xfId="0">
      <protection locked="0" hidden="0"/>
    </xf>
    <xf numFmtId="0" fontId="0" fillId="0" borderId="170" applyProtection="1" pivotButton="0" quotePrefix="0" xfId="0">
      <protection locked="0" hidden="0"/>
    </xf>
    <xf numFmtId="0" fontId="0" fillId="0" borderId="59" pivotButton="0" quotePrefix="0" xfId="0"/>
    <xf numFmtId="0" fontId="0" fillId="0" borderId="171" pivotButton="0" quotePrefix="0" xfId="0"/>
    <xf numFmtId="165" fontId="0" fillId="0" borderId="0" applyAlignment="1" pivotButton="0" quotePrefix="0" xfId="0">
      <alignment vertical="center"/>
    </xf>
    <xf numFmtId="165" fontId="0" fillId="0" borderId="39" applyAlignment="1" pivotButton="0" quotePrefix="0" xfId="0">
      <alignment horizontal="center" vertical="center"/>
    </xf>
    <xf numFmtId="165" fontId="0" fillId="0" borderId="47" applyAlignment="1" applyProtection="1" pivotButton="0" quotePrefix="0" xfId="0">
      <alignment vertical="center"/>
      <protection locked="0" hidden="0"/>
    </xf>
    <xf numFmtId="165" fontId="0" fillId="0" borderId="48" applyAlignment="1" applyProtection="1" pivotButton="0" quotePrefix="0" xfId="0">
      <alignment vertical="center"/>
      <protection locked="0" hidden="0"/>
    </xf>
    <xf numFmtId="165" fontId="0" fillId="0" borderId="49" applyAlignment="1" applyProtection="1" pivotButton="0" quotePrefix="0" xfId="0">
      <alignment vertical="center"/>
      <protection locked="0" hidden="0"/>
    </xf>
    <xf numFmtId="168" fontId="0" fillId="0" borderId="19" applyAlignment="1" pivotButton="0" quotePrefix="0" xfId="0">
      <alignment vertical="center"/>
    </xf>
    <xf numFmtId="165" fontId="0" fillId="0" borderId="15" applyAlignment="1" pivotButton="0" quotePrefix="0" xfId="0">
      <alignment vertical="center"/>
    </xf>
    <xf numFmtId="165" fontId="14" fillId="0" borderId="46" applyAlignment="1" pivotButton="0" quotePrefix="0" xfId="0">
      <alignment vertical="center"/>
    </xf>
    <xf numFmtId="165" fontId="0" fillId="0" borderId="0" applyAlignment="1" applyProtection="1" pivotButton="0" quotePrefix="0" xfId="0">
      <alignment vertical="center"/>
      <protection locked="0" hidden="0"/>
    </xf>
    <xf numFmtId="165" fontId="33" fillId="0" borderId="0" applyAlignment="1" pivotButton="0" quotePrefix="0" xfId="0">
      <alignment vertical="center"/>
    </xf>
    <xf numFmtId="165" fontId="14" fillId="0" borderId="0" applyAlignment="1" pivotButton="0" quotePrefix="0" xfId="0">
      <alignment vertical="center"/>
    </xf>
    <xf numFmtId="165" fontId="0" fillId="0" borderId="24" applyAlignment="1" applyProtection="1" pivotButton="0" quotePrefix="0" xfId="0">
      <alignment vertical="center"/>
      <protection locked="0" hidden="0"/>
    </xf>
    <xf numFmtId="165" fontId="0" fillId="0" borderId="13" applyAlignment="1" applyProtection="1" pivotButton="0" quotePrefix="0" xfId="0">
      <alignment vertical="center"/>
      <protection locked="0" hidden="0"/>
    </xf>
    <xf numFmtId="165" fontId="0" fillId="0" borderId="25" applyAlignment="1" applyProtection="1" pivotButton="0" quotePrefix="0" xfId="0">
      <alignment vertical="center"/>
      <protection locked="0" hidden="0"/>
    </xf>
    <xf numFmtId="169" fontId="0" fillId="0" borderId="17" applyAlignment="1" pivotButton="0" quotePrefix="0" xfId="0">
      <alignment vertical="center"/>
    </xf>
    <xf numFmtId="165" fontId="0" fillId="0" borderId="13" applyAlignment="1" pivotButton="0" quotePrefix="0" xfId="0">
      <alignment vertical="center"/>
    </xf>
    <xf numFmtId="165" fontId="14" fillId="0" borderId="40" applyAlignment="1" pivotButton="0" quotePrefix="0" xfId="0">
      <alignment vertical="center"/>
    </xf>
    <xf numFmtId="165" fontId="0" fillId="0" borderId="26" applyAlignment="1" applyProtection="1" pivotButton="0" quotePrefix="0" xfId="0">
      <alignment vertical="center"/>
      <protection locked="0" hidden="0"/>
    </xf>
    <xf numFmtId="165" fontId="0" fillId="0" borderId="27" applyAlignment="1" applyProtection="1" pivotButton="0" quotePrefix="0" xfId="0">
      <alignment vertical="center"/>
      <protection locked="0" hidden="0"/>
    </xf>
    <xf numFmtId="165" fontId="0" fillId="0" borderId="28" applyAlignment="1" applyProtection="1" pivotButton="0" quotePrefix="0" xfId="0">
      <alignment vertical="center"/>
      <protection locked="0" hidden="0"/>
    </xf>
    <xf numFmtId="168" fontId="0" fillId="0" borderId="17" applyAlignment="1" pivotButton="0" quotePrefix="0" xfId="0">
      <alignment vertical="center"/>
    </xf>
    <xf numFmtId="164" fontId="0" fillId="0" borderId="0" applyAlignment="1" pivotButton="0" quotePrefix="0" xfId="0">
      <alignment vertical="center"/>
    </xf>
    <xf numFmtId="164" fontId="0" fillId="0" borderId="39" applyAlignment="1" pivotButton="0" quotePrefix="0" xfId="0">
      <alignment horizontal="center" vertical="center"/>
    </xf>
    <xf numFmtId="169" fontId="0" fillId="0" borderId="43" applyAlignment="1" pivotButton="0" quotePrefix="0" xfId="0">
      <alignment vertical="center"/>
    </xf>
    <xf numFmtId="169" fontId="0" fillId="0" borderId="33" applyAlignment="1" pivotButton="0" quotePrefix="0" xfId="0">
      <alignment vertical="center"/>
    </xf>
    <xf numFmtId="169" fontId="0" fillId="0" borderId="13" applyAlignment="1" pivotButton="0" quotePrefix="0" xfId="0">
      <alignment vertical="center"/>
    </xf>
    <xf numFmtId="164" fontId="0" fillId="0" borderId="13" applyAlignment="1" pivotButton="0" quotePrefix="0" xfId="0">
      <alignment vertical="center"/>
    </xf>
    <xf numFmtId="164" fontId="14" fillId="0" borderId="40" applyAlignment="1" pivotButton="0" quotePrefix="0" xfId="0">
      <alignment vertical="center"/>
    </xf>
    <xf numFmtId="164" fontId="0" fillId="0" borderId="0" applyAlignment="1" applyProtection="1" pivotButton="0" quotePrefix="0" xfId="0">
      <alignment vertical="center"/>
      <protection locked="0" hidden="0"/>
    </xf>
    <xf numFmtId="164" fontId="33" fillId="0" borderId="0" applyAlignment="1" pivotButton="0" quotePrefix="0" xfId="0">
      <alignment vertical="center"/>
    </xf>
    <xf numFmtId="164" fontId="14" fillId="0" borderId="0" applyAlignment="1" pivotButton="0" quotePrefix="0" xfId="0">
      <alignment vertical="center"/>
    </xf>
    <xf numFmtId="170" fontId="0" fillId="0" borderId="17" applyAlignment="1" pivotButton="0" quotePrefix="0" xfId="0">
      <alignment vertical="center"/>
    </xf>
    <xf numFmtId="166" fontId="13" fillId="0" borderId="0" applyAlignment="1" pivotButton="0" quotePrefix="0" xfId="0">
      <alignment vertical="center"/>
    </xf>
    <xf numFmtId="166" fontId="13" fillId="0" borderId="39" applyAlignment="1" pivotButton="0" quotePrefix="0" xfId="0">
      <alignment horizontal="center" vertical="center"/>
    </xf>
    <xf numFmtId="169" fontId="13" fillId="0" borderId="43" applyAlignment="1" pivotButton="0" quotePrefix="0" xfId="0">
      <alignment vertical="center"/>
    </xf>
    <xf numFmtId="169" fontId="13" fillId="0" borderId="33" applyAlignment="1" pivotButton="0" quotePrefix="0" xfId="0">
      <alignment vertical="center"/>
    </xf>
    <xf numFmtId="169" fontId="13" fillId="0" borderId="13" applyAlignment="1" pivotButton="0" quotePrefix="0" xfId="0">
      <alignment vertical="center"/>
    </xf>
    <xf numFmtId="166" fontId="13" fillId="0" borderId="13" applyAlignment="1" pivotButton="0" quotePrefix="0" xfId="0">
      <alignment vertical="center"/>
    </xf>
    <xf numFmtId="166" fontId="14" fillId="2" borderId="40" applyAlignment="1" pivotButton="0" quotePrefix="0" xfId="0">
      <alignment vertical="center"/>
    </xf>
    <xf numFmtId="166" fontId="13" fillId="0" borderId="0" applyAlignment="1" applyProtection="1" pivotButton="0" quotePrefix="0" xfId="0">
      <alignment vertical="center"/>
      <protection locked="0" hidden="0"/>
    </xf>
    <xf numFmtId="166" fontId="33" fillId="0" borderId="0" applyAlignment="1" pivotButton="0" quotePrefix="0" xfId="0">
      <alignment vertical="center"/>
    </xf>
    <xf numFmtId="166" fontId="14" fillId="0" borderId="0" applyAlignment="1" pivotButton="0" quotePrefix="0" xfId="0">
      <alignment vertical="center"/>
    </xf>
    <xf numFmtId="165" fontId="14" fillId="0" borderId="50" applyAlignment="1" applyProtection="1" pivotButton="0" quotePrefix="0" xfId="0">
      <alignment vertical="center"/>
      <protection locked="0" hidden="0"/>
    </xf>
    <xf numFmtId="165" fontId="14" fillId="0" borderId="51" applyAlignment="1" applyProtection="1" pivotButton="0" quotePrefix="0" xfId="0">
      <alignment vertical="center"/>
      <protection locked="0" hidden="0"/>
    </xf>
    <xf numFmtId="165" fontId="14" fillId="0" borderId="52" applyAlignment="1" applyProtection="1" pivotButton="0" quotePrefix="0" xfId="0">
      <alignment vertical="center"/>
      <protection locked="0" hidden="0"/>
    </xf>
    <xf numFmtId="168" fontId="14" fillId="0" borderId="17" applyAlignment="1" pivotButton="0" quotePrefix="0" xfId="0">
      <alignment vertical="center"/>
    </xf>
    <xf numFmtId="165" fontId="13" fillId="0" borderId="19" applyAlignment="1" pivotButton="0" quotePrefix="0" xfId="0">
      <alignment vertical="center"/>
    </xf>
    <xf numFmtId="165" fontId="13" fillId="0" borderId="15" applyAlignment="1" pivotButton="0" quotePrefix="0" xfId="0">
      <alignment vertical="center"/>
    </xf>
    <xf numFmtId="0" fontId="0" fillId="0" borderId="18" pivotButton="0" quotePrefix="0" xfId="0"/>
    <xf numFmtId="166" fontId="0" fillId="0" borderId="0" applyAlignment="1" pivotButton="0" quotePrefix="0" xfId="0">
      <alignment vertical="center"/>
    </xf>
    <xf numFmtId="166" fontId="0" fillId="0" borderId="57" applyAlignment="1" pivotButton="0" quotePrefix="0" xfId="0">
      <alignment horizontal="center" vertical="center"/>
    </xf>
    <xf numFmtId="0" fontId="0" fillId="0" borderId="58" pivotButton="0" quotePrefix="0" xfId="0"/>
    <xf numFmtId="166" fontId="0" fillId="0" borderId="47" applyAlignment="1" applyProtection="1" pivotButton="0" quotePrefix="0" xfId="0">
      <alignment vertical="center"/>
      <protection locked="0" hidden="0"/>
    </xf>
    <xf numFmtId="166" fontId="0" fillId="0" borderId="48" applyAlignment="1" applyProtection="1" pivotButton="0" quotePrefix="0" xfId="0">
      <alignment vertical="center"/>
      <protection locked="0" hidden="0"/>
    </xf>
    <xf numFmtId="166" fontId="0" fillId="0" borderId="49" applyAlignment="1" applyProtection="1" pivotButton="0" quotePrefix="0" xfId="0">
      <alignment vertical="center"/>
      <protection locked="0" hidden="0"/>
    </xf>
    <xf numFmtId="169" fontId="0" fillId="0" borderId="59" applyAlignment="1" pivotButton="0" quotePrefix="0" xfId="0">
      <alignment vertical="center"/>
    </xf>
    <xf numFmtId="166" fontId="0" fillId="0" borderId="37" applyAlignment="1" pivotButton="0" quotePrefix="0" xfId="0">
      <alignment vertical="center"/>
    </xf>
    <xf numFmtId="166" fontId="14" fillId="0" borderId="38" applyAlignment="1" pivotButton="0" quotePrefix="0" xfId="0">
      <alignment vertical="center"/>
    </xf>
    <xf numFmtId="166" fontId="0" fillId="0" borderId="0" applyAlignment="1" applyProtection="1" pivotButton="0" quotePrefix="0" xfId="0">
      <alignment vertical="center"/>
      <protection locked="0" hidden="0"/>
    </xf>
    <xf numFmtId="166" fontId="0" fillId="0" borderId="60" applyAlignment="1" pivotButton="0" quotePrefix="0" xfId="0">
      <alignment horizontal="center" vertical="center"/>
    </xf>
    <xf numFmtId="0" fontId="0" fillId="0" borderId="32" pivotButton="0" quotePrefix="0" xfId="0"/>
    <xf numFmtId="166" fontId="0" fillId="0" borderId="26" applyAlignment="1" applyProtection="1" pivotButton="0" quotePrefix="0" xfId="0">
      <alignment vertical="center"/>
      <protection locked="0" hidden="0"/>
    </xf>
    <xf numFmtId="166" fontId="0" fillId="0" borderId="27" applyAlignment="1" applyProtection="1" pivotButton="0" quotePrefix="0" xfId="0">
      <alignment vertical="center"/>
      <protection locked="0" hidden="0"/>
    </xf>
    <xf numFmtId="166" fontId="0" fillId="0" borderId="28" applyAlignment="1" applyProtection="1" pivotButton="0" quotePrefix="0" xfId="0">
      <alignment vertical="center"/>
      <protection locked="0" hidden="0"/>
    </xf>
    <xf numFmtId="171" fontId="0" fillId="0" borderId="17" applyAlignment="1" pivotButton="0" quotePrefix="0" xfId="0">
      <alignment vertical="center"/>
    </xf>
    <xf numFmtId="166" fontId="0" fillId="0" borderId="13" applyAlignment="1" pivotButton="0" quotePrefix="0" xfId="0">
      <alignment vertical="center"/>
    </xf>
    <xf numFmtId="166" fontId="14" fillId="0" borderId="40" applyAlignment="1" pivotButton="0" quotePrefix="0" xfId="0">
      <alignment vertical="center"/>
    </xf>
    <xf numFmtId="166" fontId="0" fillId="0" borderId="39" applyAlignment="1" pivotButton="0" quotePrefix="0" xfId="0">
      <alignment horizontal="center" vertical="center"/>
    </xf>
    <xf numFmtId="169" fontId="0" fillId="0" borderId="15" applyAlignment="1" pivotButton="0" quotePrefix="0" xfId="0">
      <alignment vertical="center"/>
    </xf>
    <xf numFmtId="168" fontId="0" fillId="0" borderId="13" applyAlignment="1" pivotButton="0" quotePrefix="0" xfId="0">
      <alignment vertical="center"/>
    </xf>
    <xf numFmtId="166" fontId="0" fillId="0" borderId="20" applyAlignment="1" pivotButton="0" quotePrefix="0" xfId="0">
      <alignment horizontal="center" vertical="center"/>
    </xf>
    <xf numFmtId="0" fontId="13" fillId="0" borderId="172" applyAlignment="1" pivotButton="0" quotePrefix="0" xfId="0">
      <alignment horizontal="center" vertical="center"/>
    </xf>
    <xf numFmtId="0" fontId="0" fillId="0" borderId="21" pivotButton="0" quotePrefix="0" xfId="0"/>
    <xf numFmtId="169" fontId="13" fillId="0" borderId="22" applyAlignment="1" pivotButton="0" quotePrefix="0" xfId="0">
      <alignment vertical="center"/>
    </xf>
    <xf numFmtId="0" fontId="13" fillId="0" borderId="36" applyAlignment="1" pivotButton="0" quotePrefix="0" xfId="0">
      <alignment horizontal="center" vertical="center"/>
    </xf>
    <xf numFmtId="169" fontId="15" fillId="0" borderId="37" applyAlignment="1" pivotButton="0" quotePrefix="0" xfId="0">
      <alignment vertical="center"/>
    </xf>
    <xf numFmtId="0" fontId="13" fillId="0" borderId="55" applyAlignment="1" pivotButton="0" quotePrefix="0" xfId="0">
      <alignment horizontal="center" vertical="center"/>
    </xf>
    <xf numFmtId="169" fontId="13" fillId="0" borderId="20" applyAlignment="1" pivotButton="0" quotePrefix="0" xfId="0">
      <alignment vertical="center"/>
    </xf>
    <xf numFmtId="169" fontId="14" fillId="0" borderId="17" applyAlignment="1" pivotButton="0" quotePrefix="0" xfId="0">
      <alignment vertical="center"/>
    </xf>
    <xf numFmtId="167" fontId="0" fillId="0" borderId="50" applyAlignment="1" applyProtection="1" pivotButton="0" quotePrefix="0" xfId="0">
      <alignment vertical="center"/>
      <protection locked="0" hidden="0"/>
    </xf>
    <xf numFmtId="167" fontId="0" fillId="0" borderId="75" applyAlignment="1" applyProtection="1" pivotButton="0" quotePrefix="0" xfId="0">
      <alignment vertical="center"/>
      <protection locked="0" hidden="0"/>
    </xf>
    <xf numFmtId="167" fontId="0" fillId="0" borderId="51" applyAlignment="1" applyProtection="1" pivotButton="0" quotePrefix="0" xfId="0">
      <alignment vertical="center"/>
      <protection locked="0" hidden="0"/>
    </xf>
    <xf numFmtId="167" fontId="0" fillId="0" borderId="76" applyAlignment="1" applyProtection="1" pivotButton="0" quotePrefix="0" xfId="0">
      <alignment vertical="center"/>
      <protection locked="0" hidden="0"/>
    </xf>
    <xf numFmtId="169" fontId="0" fillId="0" borderId="69" applyAlignment="1" pivotButton="0" quotePrefix="0" xfId="0">
      <alignment vertical="center"/>
    </xf>
    <xf numFmtId="0" fontId="0" fillId="0" borderId="156" applyAlignment="1" pivotButton="0" quotePrefix="0" xfId="0">
      <alignment horizontal="center" vertical="center"/>
    </xf>
    <xf numFmtId="0" fontId="0" fillId="0" borderId="158" pivotButton="0" quotePrefix="0" xfId="0"/>
    <xf numFmtId="0" fontId="21" fillId="0" borderId="15" applyAlignment="1" pivotButton="0" quotePrefix="0" xfId="0">
      <alignment horizontal="center" vertical="center"/>
    </xf>
    <xf numFmtId="0" fontId="0" fillId="0" borderId="34" pivotButton="0" quotePrefix="0" xfId="0"/>
    <xf numFmtId="0" fontId="0" fillId="0" borderId="19" pivotButton="0" quotePrefix="0" xfId="0"/>
    <xf numFmtId="0" fontId="0" fillId="0" borderId="159" applyAlignment="1" pivotButton="0" quotePrefix="0" xfId="0">
      <alignment horizontal="center" vertical="center"/>
    </xf>
    <xf numFmtId="0" fontId="0" fillId="0" borderId="161" pivotButton="0" quotePrefix="0" xfId="0"/>
    <xf numFmtId="167" fontId="0" fillId="0" borderId="74" applyAlignment="1" applyProtection="1" pivotButton="0" quotePrefix="0" xfId="0">
      <alignment vertical="center"/>
      <protection locked="0" hidden="0"/>
    </xf>
    <xf numFmtId="167" fontId="0" fillId="0" borderId="72" applyAlignment="1" applyProtection="1" pivotButton="0" quotePrefix="0" xfId="0">
      <alignment vertical="center"/>
      <protection locked="0" hidden="0"/>
    </xf>
    <xf numFmtId="167" fontId="0" fillId="0" borderId="73" applyAlignment="1" applyProtection="1" pivotButton="0" quotePrefix="0" xfId="0">
      <alignment vertical="center"/>
      <protection locked="0" hidden="0"/>
    </xf>
    <xf numFmtId="0" fontId="0" fillId="0" borderId="23" pivotButton="0" quotePrefix="0" xfId="0"/>
    <xf numFmtId="167" fontId="0" fillId="0" borderId="19" applyAlignment="1" applyProtection="1" pivotButton="0" quotePrefix="0" xfId="0">
      <alignment vertical="center"/>
      <protection locked="0" hidden="0"/>
    </xf>
    <xf numFmtId="167" fontId="0" fillId="0" borderId="15" applyAlignment="1" applyProtection="1" pivotButton="0" quotePrefix="0" xfId="0">
      <alignment vertical="center"/>
      <protection locked="0" hidden="0"/>
    </xf>
    <xf numFmtId="167" fontId="0" fillId="0" borderId="29" applyAlignment="1" applyProtection="1" pivotButton="0" quotePrefix="0" xfId="0">
      <alignment vertical="center"/>
      <protection locked="0" hidden="0"/>
    </xf>
    <xf numFmtId="167" fontId="0" fillId="0" borderId="0" applyAlignment="1" pivotButton="0" quotePrefix="0" xfId="0">
      <alignment vertical="center"/>
    </xf>
    <xf numFmtId="167" fontId="14" fillId="0" borderId="0" applyAlignment="1" pivotButton="0" quotePrefix="0" xfId="0">
      <alignment vertical="center"/>
    </xf>
    <xf numFmtId="167" fontId="0" fillId="0" borderId="17" applyAlignment="1" applyProtection="1" pivotButton="0" quotePrefix="0" xfId="0">
      <alignment vertical="center"/>
      <protection locked="0" hidden="0"/>
    </xf>
    <xf numFmtId="167" fontId="0" fillId="0" borderId="13" applyAlignment="1" applyProtection="1" pivotButton="0" quotePrefix="0" xfId="0">
      <alignment vertical="center"/>
      <protection locked="0" hidden="0"/>
    </xf>
    <xf numFmtId="167" fontId="0" fillId="0" borderId="25" applyAlignment="1" applyProtection="1" pivotButton="0" quotePrefix="0" xfId="0">
      <alignment vertical="center"/>
      <protection locked="0" hidden="0"/>
    </xf>
    <xf numFmtId="167" fontId="0" fillId="0" borderId="68" applyAlignment="1" applyProtection="1" pivotButton="0" quotePrefix="0" xfId="0">
      <alignment vertical="center"/>
      <protection locked="0" hidden="0"/>
    </xf>
    <xf numFmtId="167" fontId="0" fillId="0" borderId="27" applyAlignment="1" applyProtection="1" pivotButton="0" quotePrefix="0" xfId="0">
      <alignment vertical="center"/>
      <protection locked="0" hidden="0"/>
    </xf>
    <xf numFmtId="167" fontId="0" fillId="0" borderId="28" applyAlignment="1" applyProtection="1" pivotButton="0" quotePrefix="0" xfId="0">
      <alignment vertical="center"/>
      <protection locked="0" hidden="0"/>
    </xf>
    <xf numFmtId="0" fontId="0" fillId="0" borderId="188" pivotButton="0" quotePrefix="0" xfId="0"/>
    <xf numFmtId="0" fontId="0" fillId="0" borderId="189" pivotButton="0" quotePrefix="0" xfId="0"/>
    <xf numFmtId="0" fontId="0" fillId="0" borderId="176" pivotButton="0" quotePrefix="0" xfId="0"/>
    <xf numFmtId="167" fontId="0" fillId="0" borderId="100" applyAlignment="1" applyProtection="1" pivotButton="0" quotePrefix="0" xfId="0">
      <alignment horizontal="left" vertical="center"/>
      <protection locked="0" hidden="0"/>
    </xf>
    <xf numFmtId="169" fontId="0" fillId="0" borderId="50" applyAlignment="1" pivotButton="0" quotePrefix="0" xfId="0">
      <alignment horizontal="left" vertical="center"/>
    </xf>
    <xf numFmtId="0" fontId="0" fillId="0" borderId="185" pivotButton="0" quotePrefix="0" xfId="0"/>
    <xf numFmtId="0" fontId="0" fillId="0" borderId="186" pivotButton="0" quotePrefix="0" xfId="0"/>
    <xf numFmtId="0" fontId="20" fillId="0" borderId="182" applyAlignment="1" pivotButton="0" quotePrefix="0" xfId="0">
      <alignment horizontal="center" vertical="center"/>
    </xf>
    <xf numFmtId="0" fontId="0" fillId="0" borderId="2" pivotButton="0" quotePrefix="0" xfId="0"/>
    <xf numFmtId="0" fontId="0" fillId="0" borderId="183" pivotButton="0" quotePrefix="0" xfId="0"/>
    <xf numFmtId="0" fontId="20" fillId="0" borderId="184" applyAlignment="1" pivotButton="0" quotePrefix="0" xfId="0">
      <alignment horizontal="center" vertical="center"/>
    </xf>
    <xf numFmtId="0" fontId="0" fillId="0" borderId="89" pivotButton="0" quotePrefix="0" xfId="0"/>
    <xf numFmtId="169" fontId="0" fillId="0" borderId="18" applyAlignment="1" pivotButton="0" quotePrefix="0" xfId="0">
      <alignment vertical="center"/>
    </xf>
    <xf numFmtId="0" fontId="0" fillId="0" borderId="43" pivotButton="0" quotePrefix="0" xfId="0"/>
    <xf numFmtId="0" fontId="0" fillId="0" borderId="179" pivotButton="0" quotePrefix="0" xfId="0"/>
    <xf numFmtId="0" fontId="0" fillId="0" borderId="180" pivotButton="0" quotePrefix="0" xfId="0"/>
    <xf numFmtId="0" fontId="0" fillId="0" borderId="181" pivotButton="0" quotePrefix="0" xfId="0"/>
    <xf numFmtId="0" fontId="18" fillId="0" borderId="190" applyAlignment="1" pivotButton="0" quotePrefix="0" xfId="0">
      <alignment horizontal="center" vertical="center"/>
    </xf>
    <xf numFmtId="0" fontId="0" fillId="0" borderId="92" pivotButton="0" quotePrefix="0" xfId="0"/>
    <xf numFmtId="0" fontId="0" fillId="0" borderId="191" pivotButton="0" quotePrefix="0" xfId="0"/>
    <xf numFmtId="0" fontId="0" fillId="0" borderId="192" pivotButton="0" quotePrefix="0" xfId="0"/>
    <xf numFmtId="0" fontId="0" fillId="0" borderId="94" pivotButton="0" quotePrefix="0" xfId="0"/>
    <xf numFmtId="0" fontId="0" fillId="0" borderId="4" applyProtection="1" pivotButton="0" quotePrefix="0" xfId="0">
      <protection locked="0" hidden="0"/>
    </xf>
    <xf numFmtId="0" fontId="0" fillId="0" borderId="7" applyProtection="1" pivotButton="0" quotePrefix="0" xfId="0">
      <protection locked="0" hidden="0"/>
    </xf>
    <xf numFmtId="0" fontId="0" fillId="0" borderId="10" applyProtection="1" pivotButton="0" quotePrefix="0" xfId="0">
      <protection locked="0" hidden="0"/>
    </xf>
    <xf numFmtId="0" fontId="0" fillId="0" borderId="129" applyProtection="1" pivotButton="0" quotePrefix="0" xfId="0">
      <protection locked="0" hidden="0"/>
    </xf>
    <xf numFmtId="182" fontId="55" fillId="0" borderId="129" applyAlignment="1" pivotButton="0" quotePrefix="0" xfId="2">
      <alignment horizontal="center" vertical="center"/>
    </xf>
    <xf numFmtId="0" fontId="0" fillId="0" borderId="129" pivotButton="0" quotePrefix="0" xfId="0"/>
    <xf numFmtId="176" fontId="42" fillId="0" borderId="0" applyAlignment="1" applyProtection="1" pivotButton="0" quotePrefix="0" xfId="1">
      <alignment vertical="center"/>
      <protection locked="0" hidden="0"/>
    </xf>
    <xf numFmtId="181" fontId="43" fillId="0" borderId="0" applyAlignment="1" pivotButton="0" quotePrefix="0" xfId="1">
      <alignment horizontal="left" vertical="center"/>
    </xf>
    <xf numFmtId="176" fontId="43" fillId="0" borderId="0" applyAlignment="1" applyProtection="1" pivotButton="0" quotePrefix="0" xfId="1">
      <alignment vertical="center"/>
      <protection locked="0" hidden="0"/>
    </xf>
    <xf numFmtId="0" fontId="0" fillId="0" borderId="125" applyProtection="1" pivotButton="0" quotePrefix="0" xfId="0">
      <protection locked="0" hidden="0"/>
    </xf>
    <xf numFmtId="0" fontId="0" fillId="0" borderId="194" applyProtection="1" pivotButton="0" quotePrefix="0" xfId="0">
      <protection locked="0" hidden="0"/>
    </xf>
    <xf numFmtId="0" fontId="0" fillId="0" borderId="179" applyProtection="1" pivotButton="0" quotePrefix="0" xfId="0">
      <protection locked="0" hidden="0"/>
    </xf>
    <xf numFmtId="0" fontId="0" fillId="0" borderId="180" applyProtection="1" pivotButton="0" quotePrefix="0" xfId="0">
      <protection locked="0" hidden="0"/>
    </xf>
    <xf numFmtId="0" fontId="0" fillId="0" borderId="34" applyProtection="1" pivotButton="0" quotePrefix="0" xfId="0">
      <protection locked="0" hidden="0"/>
    </xf>
    <xf numFmtId="0" fontId="0" fillId="0" borderId="19" applyProtection="1" pivotButton="0" quotePrefix="0" xfId="0">
      <protection locked="0" hidden="0"/>
    </xf>
    <xf numFmtId="173" fontId="41" fillId="0" borderId="15" applyAlignment="1" applyProtection="1" pivotButton="0" quotePrefix="0" xfId="0">
      <alignment horizontal="center" vertical="center"/>
      <protection locked="0" hidden="0"/>
    </xf>
    <xf numFmtId="174" fontId="41" fillId="0" borderId="123" applyAlignment="1" pivotButton="0" quotePrefix="0" xfId="0">
      <alignment horizontal="center" vertical="center"/>
    </xf>
    <xf numFmtId="0" fontId="0" fillId="0" borderId="32" applyProtection="1" pivotButton="0" quotePrefix="0" xfId="0">
      <protection locked="0" hidden="0"/>
    </xf>
    <xf numFmtId="173" fontId="41" fillId="4" borderId="13" applyAlignment="1" applyProtection="1" pivotButton="0" quotePrefix="0" xfId="0">
      <alignment horizontal="center" vertical="center"/>
      <protection locked="0" hidden="0"/>
    </xf>
    <xf numFmtId="174" fontId="41" fillId="4" borderId="30" applyAlignment="1" pivotButton="0" quotePrefix="0" xfId="0">
      <alignment horizontal="center" vertical="center"/>
    </xf>
    <xf numFmtId="173" fontId="41" fillId="0" borderId="13" applyAlignment="1" applyProtection="1" pivotButton="0" quotePrefix="0" xfId="0">
      <alignment horizontal="center" vertical="center"/>
      <protection locked="0" hidden="0"/>
    </xf>
    <xf numFmtId="174" fontId="41" fillId="0" borderId="30" applyAlignment="1" pivotButton="0" quotePrefix="0" xfId="0">
      <alignment horizontal="center" vertical="center"/>
    </xf>
    <xf numFmtId="0" fontId="0" fillId="0" borderId="113" applyProtection="1" pivotButton="0" quotePrefix="0" xfId="0">
      <protection locked="0" hidden="0"/>
    </xf>
    <xf numFmtId="0" fontId="0" fillId="0" borderId="127" applyProtection="1" pivotButton="0" quotePrefix="0" xfId="0">
      <protection locked="0" hidden="0"/>
    </xf>
    <xf numFmtId="0" fontId="0" fillId="0" borderId="185" applyProtection="1" pivotButton="0" quotePrefix="0" xfId="0">
      <protection locked="0" hidden="0"/>
    </xf>
    <xf numFmtId="0" fontId="0" fillId="0" borderId="186" applyProtection="1" pivotButton="0" quotePrefix="0" xfId="0">
      <protection locked="0" hidden="0"/>
    </xf>
    <xf numFmtId="173" fontId="41" fillId="0" borderId="80" applyAlignment="1" applyProtection="1" pivotButton="0" quotePrefix="0" xfId="0">
      <alignment horizontal="center" vertical="center"/>
      <protection locked="0" hidden="0"/>
    </xf>
    <xf numFmtId="174" fontId="41" fillId="0" borderId="121" applyAlignment="1" pivotButton="0" quotePrefix="0" xfId="0">
      <alignment horizontal="center" vertical="center"/>
    </xf>
    <xf numFmtId="175" fontId="53" fillId="3" borderId="122" applyAlignment="1" pivotButton="0" quotePrefix="0" xfId="0">
      <alignment horizontal="center" vertical="center"/>
    </xf>
    <xf numFmtId="175" fontId="41" fillId="0" borderId="15" applyAlignment="1" pivotButton="0" quotePrefix="0" xfId="0">
      <alignment horizontal="center" vertical="center"/>
    </xf>
    <xf numFmtId="175" fontId="53" fillId="3" borderId="119" applyAlignment="1" pivotButton="0" quotePrefix="0" xfId="0">
      <alignment horizontal="center" vertical="center"/>
    </xf>
    <xf numFmtId="175" fontId="41" fillId="0" borderId="13" applyAlignment="1" pivotButton="0" quotePrefix="0" xfId="0">
      <alignment horizontal="center" vertical="center"/>
    </xf>
    <xf numFmtId="175" fontId="53" fillId="3" borderId="120" applyAlignment="1" pivotButton="0" quotePrefix="0" xfId="0">
      <alignment horizontal="center" vertical="center"/>
    </xf>
    <xf numFmtId="175" fontId="41" fillId="0" borderId="80" applyAlignment="1" pivotButton="0" quotePrefix="0" xfId="0">
      <alignment horizontal="center" vertical="center"/>
    </xf>
    <xf numFmtId="0" fontId="0" fillId="0" borderId="193" applyProtection="1" pivotButton="0" quotePrefix="0" xfId="0">
      <protection locked="0" hidden="0"/>
    </xf>
    <xf numFmtId="0" fontId="0" fillId="0" borderId="104" applyProtection="1" pivotButton="0" quotePrefix="0" xfId="0">
      <protection locked="0" hidden="0"/>
    </xf>
    <xf numFmtId="0" fontId="0" fillId="0" borderId="102" applyProtection="1" pivotButton="0" quotePrefix="0" xfId="0">
      <protection locked="0" hidden="0"/>
    </xf>
    <xf numFmtId="0" fontId="0" fillId="0" borderId="5" applyProtection="1" pivotButton="0" quotePrefix="0" xfId="0">
      <protection locked="0" hidden="0"/>
    </xf>
    <xf numFmtId="0" fontId="0" fillId="0" borderId="43" applyProtection="1" pivotButton="0" quotePrefix="0" xfId="0">
      <protection locked="0" hidden="0"/>
    </xf>
    <xf numFmtId="0" fontId="0" fillId="0" borderId="195" applyProtection="1" pivotButton="0" quotePrefix="0" xfId="0">
      <protection locked="0" hidden="0"/>
    </xf>
    <xf numFmtId="0" fontId="0" fillId="0" borderId="126" applyProtection="1" pivotButton="0" quotePrefix="0" xfId="0">
      <protection locked="0" hidden="0"/>
    </xf>
    <xf numFmtId="177" fontId="60" fillId="0" borderId="103" applyAlignment="1" pivotButton="0" quotePrefix="0" xfId="0">
      <alignment horizontal="center" vertical="center"/>
    </xf>
    <xf numFmtId="172" fontId="60" fillId="0" borderId="30" applyAlignment="1" pivotButton="0" quotePrefix="0" xfId="0">
      <alignment horizontal="center" vertical="center"/>
    </xf>
    <xf numFmtId="177" fontId="60" fillId="0" borderId="13" applyAlignment="1" pivotButton="0" quotePrefix="0" xfId="0">
      <alignment horizontal="center" vertical="center"/>
    </xf>
    <xf numFmtId="0" fontId="60" fillId="0" borderId="196" applyAlignment="1" applyProtection="1" pivotButton="0" quotePrefix="0" xfId="0">
      <alignment horizontal="center" vertical="center"/>
      <protection locked="0" hidden="0"/>
    </xf>
    <xf numFmtId="177" fontId="60" fillId="0" borderId="80" applyAlignment="1" pivotButton="0" quotePrefix="0" xfId="0">
      <alignment horizontal="center" vertical="center"/>
    </xf>
    <xf numFmtId="172" fontId="60" fillId="0" borderId="121" applyAlignment="1" pivotButton="0" quotePrefix="0" xfId="0">
      <alignment horizontal="center" vertical="center"/>
    </xf>
    <xf numFmtId="172" fontId="4" fillId="0" borderId="2" applyAlignment="1" pivotButton="0" quotePrefix="0" xfId="0">
      <alignment horizontal="center" vertical="center"/>
    </xf>
    <xf numFmtId="0" fontId="0" fillId="0" borderId="3" applyProtection="1" pivotButton="0" quotePrefix="0" xfId="0">
      <protection locked="0" hidden="0"/>
    </xf>
    <xf numFmtId="0" fontId="0" fillId="0" borderId="6" applyProtection="1" pivotButton="0" quotePrefix="0" xfId="0">
      <protection locked="0" hidden="0"/>
    </xf>
    <xf numFmtId="0" fontId="0" fillId="0" borderId="197" applyAlignment="1" applyProtection="1" pivotButton="0" quotePrefix="0" xfId="0">
      <alignment horizontal="center"/>
      <protection locked="0" hidden="0"/>
    </xf>
    <xf numFmtId="0" fontId="0" fillId="0" borderId="109" applyProtection="1" pivotButton="0" quotePrefix="0" xfId="0">
      <protection locked="0" hidden="0"/>
    </xf>
    <xf numFmtId="0" fontId="0" fillId="0" borderId="106" applyProtection="1" pivotButton="0" quotePrefix="0" xfId="0">
      <protection locked="0" hidden="0"/>
    </xf>
    <xf numFmtId="0" fontId="0" fillId="0" borderId="107" applyProtection="1" pivotButton="0" quotePrefix="0" xfId="0">
      <protection locked="0" hidden="0"/>
    </xf>
    <xf numFmtId="0" fontId="0" fillId="0" borderId="198" applyAlignment="1" applyProtection="1" pivotButton="0" quotePrefix="0" xfId="0">
      <alignment horizontal="center"/>
      <protection locked="0" hidden="0"/>
    </xf>
    <xf numFmtId="0" fontId="0" fillId="0" borderId="114" applyProtection="1" pivotButton="0" quotePrefix="0" xfId="0">
      <protection locked="0" hidden="0"/>
    </xf>
    <xf numFmtId="0" fontId="0" fillId="0" borderId="200" applyAlignment="1" applyProtection="1" pivotButton="0" quotePrefix="0" xfId="0">
      <alignment horizontal="center"/>
      <protection locked="0" hidden="0"/>
    </xf>
    <xf numFmtId="0" fontId="0" fillId="0" borderId="111" applyProtection="1" pivotButton="0" quotePrefix="0" xfId="0">
      <protection locked="0" hidden="0"/>
    </xf>
    <xf numFmtId="0" fontId="70" fillId="0" borderId="201" applyAlignment="1" pivotButton="0" quotePrefix="0" xfId="0">
      <alignment horizontal="left" vertical="center" wrapText="1"/>
    </xf>
    <xf numFmtId="0" fontId="0" fillId="0" borderId="139" pivotButton="0" quotePrefix="0" xfId="0"/>
    <xf numFmtId="0" fontId="0" fillId="0" borderId="138" pivotButton="0" quotePrefix="0" xfId="0"/>
    <xf numFmtId="0" fontId="0" fillId="0" borderId="137" pivotButton="0" quotePrefix="0" xfId="0"/>
    <xf numFmtId="0" fontId="0" fillId="0" borderId="136" pivotButton="0" quotePrefix="0" xfId="0"/>
    <xf numFmtId="0" fontId="0" fillId="0" borderId="135" pivotButton="0" quotePrefix="0" xfId="0"/>
    <xf numFmtId="0" fontId="0" fillId="0" borderId="134" pivotButton="0" quotePrefix="0" xfId="0"/>
    <xf numFmtId="0" fontId="0" fillId="0" borderId="133" pivotButton="0" quotePrefix="0" xfId="0"/>
    <xf numFmtId="0" fontId="0" fillId="0" borderId="131" pivotButton="0" quotePrefix="0" xfId="0"/>
    <xf numFmtId="0" fontId="0" fillId="0" borderId="130" pivotButton="0" quotePrefix="0" xfId="0"/>
    <xf numFmtId="175" fontId="73" fillId="0" borderId="0" applyAlignment="1" pivotButton="0" quotePrefix="0" xfId="5">
      <alignment horizontal="center" vertical="center"/>
    </xf>
    <xf numFmtId="175" fontId="74" fillId="0" borderId="0" applyAlignment="1" pivotButton="0" quotePrefix="0" xfId="3">
      <alignment vertical="center"/>
    </xf>
    <xf numFmtId="175" fontId="75" fillId="0" borderId="0" applyAlignment="1" pivotButton="0" quotePrefix="0" xfId="0">
      <alignment vertical="center"/>
    </xf>
    <xf numFmtId="175" fontId="76" fillId="0" borderId="0" applyAlignment="1" pivotButton="0" quotePrefix="0" xfId="0">
      <alignment horizontal="center" vertical="center"/>
    </xf>
    <xf numFmtId="175" fontId="77" fillId="0" borderId="0" applyAlignment="1" pivotButton="0" quotePrefix="0" xfId="3">
      <alignment horizontal="left" vertical="center" wrapText="1"/>
    </xf>
    <xf numFmtId="175" fontId="78" fillId="0" borderId="0" applyAlignment="1" pivotButton="0" quotePrefix="0" xfId="3">
      <alignment horizontal="right" vertical="center"/>
    </xf>
    <xf numFmtId="175" fontId="75" fillId="0" borderId="0" applyAlignment="1" pivotButton="0" quotePrefix="0" xfId="3">
      <alignment horizontal="left" vertical="center"/>
    </xf>
    <xf numFmtId="175" fontId="0" fillId="0" borderId="0" applyAlignment="1" pivotButton="0" quotePrefix="0" xfId="0">
      <alignment vertical="center"/>
    </xf>
    <xf numFmtId="175" fontId="66" fillId="0" borderId="0" applyAlignment="1" pivotButton="0" quotePrefix="0" xfId="3">
      <alignment vertical="center"/>
    </xf>
    <xf numFmtId="172" fontId="78" fillId="0" borderId="0" applyAlignment="1" pivotButton="0" quotePrefix="0" xfId="3">
      <alignment horizontal="left" vertical="center"/>
    </xf>
    <xf numFmtId="172" fontId="78" fillId="0" borderId="0" applyAlignment="1" pivotButton="0" quotePrefix="0" xfId="3">
      <alignment vertical="center"/>
    </xf>
    <xf numFmtId="172" fontId="74" fillId="0" borderId="0" applyAlignment="1" pivotButton="0" quotePrefix="0" xfId="3">
      <alignment vertical="center"/>
    </xf>
    <xf numFmtId="172" fontId="75" fillId="0" borderId="0" applyAlignment="1" pivotButton="0" quotePrefix="0" xfId="3">
      <alignment horizontal="left" vertical="center"/>
    </xf>
    <xf numFmtId="172" fontId="78" fillId="0" borderId="0" applyAlignment="1" pivotButton="0" quotePrefix="0" xfId="3">
      <alignment horizontal="center" vertical="center"/>
    </xf>
    <xf numFmtId="175" fontId="79" fillId="0" borderId="0" applyAlignment="1" pivotButton="0" quotePrefix="0" xfId="5">
      <alignment vertical="center"/>
    </xf>
    <xf numFmtId="172" fontId="80" fillId="0" borderId="0" applyAlignment="1" pivotButton="0" quotePrefix="0" xfId="3">
      <alignment horizontal="left" vertical="center"/>
    </xf>
    <xf numFmtId="172" fontId="77" fillId="0" borderId="0" applyAlignment="1" pivotButton="0" quotePrefix="0" xfId="3">
      <alignment horizontal="left" vertical="center"/>
    </xf>
    <xf numFmtId="172" fontId="77" fillId="0" borderId="0" applyAlignment="1" pivotButton="0" quotePrefix="0" xfId="3">
      <alignment horizontal="right" vertical="center"/>
    </xf>
    <xf numFmtId="172" fontId="74" fillId="0" borderId="0" applyAlignment="1" pivotButton="0" quotePrefix="0" xfId="3">
      <alignment horizontal="left" vertical="center"/>
    </xf>
    <xf numFmtId="172" fontId="0" fillId="0" borderId="0" applyAlignment="1" pivotButton="0" quotePrefix="0" xfId="0">
      <alignment vertical="center"/>
    </xf>
    <xf numFmtId="175" fontId="81" fillId="0" borderId="0" applyAlignment="1" pivotButton="0" quotePrefix="0" xfId="0">
      <alignment vertical="center"/>
    </xf>
    <xf numFmtId="175" fontId="82" fillId="0" borderId="0" applyAlignment="1" pivotButton="0" quotePrefix="0" xfId="0">
      <alignment vertical="center"/>
    </xf>
    <xf numFmtId="175" fontId="0" fillId="0" borderId="0" applyAlignment="1" pivotButton="0" quotePrefix="0" xfId="0">
      <alignment horizontal="center" vertical="center"/>
    </xf>
    <xf numFmtId="175" fontId="83" fillId="0" borderId="0" applyAlignment="1" pivotButton="0" quotePrefix="0" xfId="5">
      <alignment vertical="center"/>
    </xf>
    <xf numFmtId="175" fontId="74" fillId="0" borderId="0" applyAlignment="1" pivotButton="0" quotePrefix="0" xfId="3">
      <alignment horizontal="center" vertical="center"/>
    </xf>
    <xf numFmtId="175" fontId="74" fillId="0" borderId="0" applyAlignment="1" pivotButton="0" quotePrefix="0" xfId="3">
      <alignment horizontal="left" vertical="center"/>
    </xf>
    <xf numFmtId="175" fontId="83" fillId="0" borderId="0" applyAlignment="1" pivotButton="0" quotePrefix="0" xfId="3">
      <alignment vertical="center"/>
    </xf>
    <xf numFmtId="175" fontId="67" fillId="0" borderId="0" applyAlignment="1" pivotButton="0" quotePrefix="0" xfId="3">
      <alignment vertical="center"/>
    </xf>
    <xf numFmtId="175" fontId="35" fillId="0" borderId="0" applyAlignment="1" pivotButton="0" quotePrefix="0" xfId="5">
      <alignment vertical="center"/>
    </xf>
    <xf numFmtId="175" fontId="83" fillId="0" borderId="0" applyAlignment="1" pivotButton="0" quotePrefix="0" xfId="3">
      <alignment horizontal="left" vertical="center"/>
    </xf>
    <xf numFmtId="175" fontId="84" fillId="0" borderId="0" applyAlignment="1" pivotButton="0" quotePrefix="0" xfId="3">
      <alignment horizontal="left" vertical="center"/>
    </xf>
    <xf numFmtId="175" fontId="82" fillId="0" borderId="0" applyAlignment="1" pivotButton="0" quotePrefix="0" xfId="0">
      <alignment horizontal="left" vertical="center"/>
    </xf>
    <xf numFmtId="0" fontId="0" fillId="0" borderId="126" pivotButton="0" quotePrefix="0" xfId="0"/>
    <xf numFmtId="0" fontId="0" fillId="0" borderId="125" pivotButton="0" quotePrefix="0" xfId="0"/>
    <xf numFmtId="0" fontId="0" fillId="0" borderId="3" pivotButton="0" quotePrefix="0" xfId="0"/>
    <xf numFmtId="0" fontId="68" fillId="0" borderId="1" applyAlignment="1" pivotButton="0" quotePrefix="0" xfId="0">
      <alignment horizontal="left" vertical="center"/>
    </xf>
    <xf numFmtId="0" fontId="0" fillId="0" borderId="4" pivotButton="0" quotePrefix="0" xfId="0"/>
    <xf numFmtId="0" fontId="0" fillId="0" borderId="5" pivotButton="0" quotePrefix="0" xfId="0"/>
    <xf numFmtId="0" fontId="0" fillId="0" borderId="6" pivotButton="0" quotePrefix="0" xfId="0"/>
    <xf numFmtId="0" fontId="0" fillId="0" borderId="106" pivotButton="0" quotePrefix="0" xfId="0"/>
    <xf numFmtId="0" fontId="0" fillId="0" borderId="107" pivotButton="0" quotePrefix="0" xfId="0"/>
    <xf numFmtId="178" fontId="92" fillId="0" borderId="142" applyAlignment="1" pivotButton="0" quotePrefix="0" xfId="3">
      <alignment horizontal="center" vertical="center"/>
    </xf>
    <xf numFmtId="0" fontId="0" fillId="0" borderId="143" pivotButton="0" quotePrefix="0" xfId="0"/>
    <xf numFmtId="179" fontId="94" fillId="0" borderId="146" applyAlignment="1" pivotButton="0" quotePrefix="0" xfId="3">
      <alignment horizontal="center" vertical="center"/>
    </xf>
    <xf numFmtId="0" fontId="0" fillId="0" borderId="148" pivotButton="0" quotePrefix="0" xfId="0"/>
    <xf numFmtId="180" fontId="92" fillId="0" borderId="148" applyAlignment="1" pivotButton="0" quotePrefix="0" xfId="3">
      <alignment vertical="center"/>
    </xf>
    <xf numFmtId="0" fontId="0" fillId="0" borderId="151" pivotButton="0" quotePrefix="0" xfId="0"/>
    <xf numFmtId="180" fontId="92" fillId="0" borderId="154" applyAlignment="1" pivotButton="0" quotePrefix="0" xfId="3">
      <alignment vertical="center"/>
    </xf>
    <xf numFmtId="180" fontId="92" fillId="0" borderId="149" applyAlignment="1" pivotButton="0" quotePrefix="0" xfId="3">
      <alignment horizontal="right" vertical="center"/>
    </xf>
    <xf numFmtId="180" fontId="92" fillId="0" borderId="149" applyAlignment="1" pivotButton="0" quotePrefix="0" xfId="3">
      <alignment vertical="center"/>
    </xf>
  </cellXfs>
  <cellStyles count="7">
    <cellStyle name="標準" xfId="0" builtinId="0"/>
    <cellStyle name="桁区切り" xfId="1" builtinId="6"/>
    <cellStyle name="通貨" xfId="2" builtinId="7"/>
    <cellStyle name="Excel Built-in Normal" xfId="3"/>
    <cellStyle name="Excel Built-in Comma [0]" xfId="4"/>
    <cellStyle name="標準 2" xfId="5"/>
    <cellStyle name="ハイパーリンク" xfId="6" builtinId="8"/>
  </cellStyles>
  <dxfs count="3">
    <dxf>
      <numFmt numFmtId="176" formatCode="#,##0_ "/>
    </dxf>
    <dxf>
      <numFmt numFmtId="176" formatCode="#,##0_ "/>
    </dxf>
    <dxf>
      <numFmt numFmtId="176" formatCode="#,##0_ "/>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ctrlProps/ctrlProp1.xml><?xml version="1.0" encoding="utf-8"?>
<formControlPr xmlns="http://schemas.microsoft.com/office/spreadsheetml/2009/9/main" objectType="CheckBox" fmlaLink="$C$32"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D$32" lockText="1" noThreeD="1"/>
</file>

<file path=xl/ctrlProps/ctrlProp6.xml><?xml version="1.0" encoding="utf-8"?>
<formControlPr xmlns="http://schemas.microsoft.com/office/spreadsheetml/2009/9/main" objectType="CheckBox" fmlaLink="$E$32" lockText="1" noThreeD="1"/>
</file>

<file path=xl/ctrlProps/ctrlProp7.xml><?xml version="1.0" encoding="utf-8"?>
<formControlPr xmlns="http://schemas.microsoft.com/office/spreadsheetml/2009/9/main" objectType="CheckBox" fmlaLink="$F$32" lockText="1" noThreeD="1"/>
</file>

<file path=xl/ctrlProps/ctrlProp8.xml><?xml version="1.0" encoding="utf-8"?>
<formControlPr xmlns="http://schemas.microsoft.com/office/spreadsheetml/2009/9/main" objectType="CheckBox" fmlaLink="$C$34" lockText="1" noThreeD="1"/>
</file>

<file path=xl/ctrlProps/ctrlProp9.xml><?xml version="1.0" encoding="utf-8"?>
<formControlPr xmlns="http://schemas.microsoft.com/office/spreadsheetml/2009/9/main" objectType="CheckBox" fmlaLink="$C$35"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fmlaLink="$D$35" lockText="1" noThreeD="1"/>
</file>

<file path=xl/ctrlProps/ctrlProp14.xml><?xml version="1.0" encoding="utf-8"?>
<formControlPr xmlns="http://schemas.microsoft.com/office/spreadsheetml/2009/9/main" objectType="CheckBox" fmlaLink="$E$35" lockText="1" noThreeD="1"/>
</file>

<file path=xl/ctrlProps/ctrlProp15.xml><?xml version="1.0" encoding="utf-8"?>
<formControlPr xmlns="http://schemas.microsoft.com/office/spreadsheetml/2009/9/main" objectType="CheckBox" fmlaLink="$F$35" lockText="1" noThreeD="1"/>
</file>

<file path=xl/ctrlProps/ctrlProp16.xml><?xml version="1.0" encoding="utf-8"?>
<formControlPr xmlns="http://schemas.microsoft.com/office/spreadsheetml/2009/9/main" objectType="CheckBox" fmlaLink="$C$30"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fmlaLink="$D$30" lockText="1" noThreeD="1"/>
</file>

<file path=xl/ctrlProps/ctrlProp21.xml><?xml version="1.0" encoding="utf-8"?>
<formControlPr xmlns="http://schemas.microsoft.com/office/spreadsheetml/2009/9/main" objectType="CheckBox" fmlaLink="$E$30" lockText="1" noThreeD="1"/>
</file>

<file path=xl/ctrlProps/ctrlProp22.xml><?xml version="1.0" encoding="utf-8"?>
<formControlPr xmlns="http://schemas.microsoft.com/office/spreadsheetml/2009/9/main" objectType="CheckBox" fmlaLink="$F$30" lockText="1" noThreeD="1"/>
</file>

<file path=xl/ctrlProps/ctrlProp23.xml><?xml version="1.0" encoding="utf-8"?>
<formControlPr xmlns="http://schemas.microsoft.com/office/spreadsheetml/2009/9/main" objectType="CheckBox" fmlaLink="$C$36"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fmlaLink="$D$36"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fmlaLink="$E$36"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fmlaLink="$F$36" lockText="1" noThreeD="1"/>
</file>

<file path=xl/ctrlProps/ctrlProp30.xml><?xml version="1.0" encoding="utf-8"?>
<formControlPr xmlns="http://schemas.microsoft.com/office/spreadsheetml/2009/9/main" objectType="CheckBox" fmlaLink="$D$34" lockText="1" noThreeD="1"/>
</file>

<file path=xl/ctrlProps/ctrlProp31.xml><?xml version="1.0" encoding="utf-8"?>
<formControlPr xmlns="http://schemas.microsoft.com/office/spreadsheetml/2009/9/main" objectType="CheckBox" fmlaLink="$E$34" lockText="1" noThreeD="1"/>
</file>

<file path=xl/ctrlProps/ctrlProp32.xml><?xml version="1.0" encoding="utf-8"?>
<formControlPr xmlns="http://schemas.microsoft.com/office/spreadsheetml/2009/9/main" objectType="CheckBox" fmlaLink="$F$34" lockText="1" noThreeD="1"/>
</file>

<file path=xl/ctrlProps/ctrlProp33.xml><?xml version="1.0" encoding="utf-8"?>
<formControlPr xmlns="http://schemas.microsoft.com/office/spreadsheetml/2009/9/main" objectType="CheckBox" checked="Checked" fmlaLink="$B$4" lockText="1" noThreeD="1"/>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png" Id="rId1"/></Relationships>
</file>

<file path=xl/drawings/_rels/drawing3.xml.rels><Relationships xmlns="http://schemas.openxmlformats.org/package/2006/relationships"><Relationship Type="http://schemas.openxmlformats.org/officeDocument/2006/relationships/image" Target="/xl/media/image3.png" Id="rId1"/></Relationships>
</file>

<file path=xl/drawings/_rels/drawing4.xml.rels><Relationships xmlns="http://schemas.openxmlformats.org/package/2006/relationships"><Relationship Type="http://schemas.openxmlformats.org/officeDocument/2006/relationships/image" Target="/xl/media/image4.png" Id="rId1"/></Relationships>
</file>

<file path=xl/drawings/drawing1.xml><?xml version="1.0" encoding="utf-8"?>
<wsDr xmlns="http://schemas.openxmlformats.org/drawingml/2006/spreadsheetDrawing">
  <oneCellAnchor>
    <from>
      <col>7</col>
      <colOff>425450</colOff>
      <row>38</row>
      <rowOff>63500</rowOff>
    </from>
    <ext cx="795020" cy="599440"/>
    <pic>
      <nvPicPr>
        <cNvPr id="4" name="図形 2" descr="2296940"/>
        <cNvPicPr>
          <a:picLocks xmlns:a="http://schemas.openxmlformats.org/drawingml/2006/main" noChangeAspect="1"/>
        </cNvPicPr>
      </nvPicPr>
      <blipFill>
        <a:blip xmlns:a="http://schemas.openxmlformats.org/drawingml/2006/main" xmlns:r="http://schemas.openxmlformats.org/officeDocument/2006/relationships" r:embed="rId1">
          <grayscl/>
          <lum bright="70000" contrast="-70000"/>
        </a:blip>
        <a:stretch xmlns:a="http://schemas.openxmlformats.org/drawingml/2006/main">
          <a:fillRect/>
        </a:stretch>
      </blipFill>
      <spPr>
        <a:xfrm xmlns:a="http://schemas.openxmlformats.org/drawingml/2006/main">
          <a:off x="5092700" y="8026400"/>
          <a:ext cx="795020" cy="599440"/>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oneCellAnchor>
    <from>
      <col>7</col>
      <colOff>986790</colOff>
      <row>45</row>
      <rowOff>38100</rowOff>
    </from>
    <ext cx="845185" cy="631261"/>
    <pic>
      <nvPicPr>
        <cNvPr id="34" name="図形 17" descr="2296940"/>
        <cNvPicPr>
          <a:picLocks xmlns:a="http://schemas.openxmlformats.org/drawingml/2006/main" noChangeAspect="1"/>
        </cNvPicPr>
      </nvPicPr>
      <blipFill>
        <a:blip xmlns:a="http://schemas.openxmlformats.org/drawingml/2006/main" xmlns:r="http://schemas.openxmlformats.org/officeDocument/2006/relationships" r:embed="rId1">
          <grayscl/>
          <lum bright="70000" contrast="-70000"/>
        </a:blip>
        <a:stretch xmlns:a="http://schemas.openxmlformats.org/drawingml/2006/main">
          <a:fillRect/>
        </a:stretch>
      </blipFill>
      <spPr>
        <a:xfrm xmlns:a="http://schemas.openxmlformats.org/drawingml/2006/main">
          <a:off x="7171690" y="12592050"/>
          <a:ext cx="845185" cy="631261"/>
        </a:xfrm>
        <a:prstGeom xmlns:a="http://schemas.openxmlformats.org/drawingml/2006/main" prst="rect">
          <avLst/>
        </a:prstGeom>
        <a:ln xmlns:a="http://schemas.openxmlformats.org/drawingml/2006/main">
          <a:prstDash val="solid"/>
        </a:ln>
      </spPr>
    </pic>
    <clientData/>
  </oneCellAnchor>
</wsDr>
</file>

<file path=xl/drawings/drawing3.xml><?xml version="1.0" encoding="utf-8"?>
<wsDr xmlns="http://schemas.openxmlformats.org/drawingml/2006/spreadsheetDrawing">
  <oneCellAnchor>
    <from>
      <col>7</col>
      <colOff>495300</colOff>
      <row>41</row>
      <rowOff>19050</rowOff>
    </from>
    <ext cx="854075" cy="643255"/>
    <pic>
      <nvPicPr>
        <cNvPr id="3" name="図形 1" descr="2296940"/>
        <cNvPicPr>
          <a:picLocks xmlns:a="http://schemas.openxmlformats.org/drawingml/2006/main" noChangeAspect="1"/>
        </cNvPicPr>
      </nvPicPr>
      <blipFill>
        <a:blip xmlns:a="http://schemas.openxmlformats.org/drawingml/2006/main" xmlns:r="http://schemas.openxmlformats.org/officeDocument/2006/relationships" r:embed="rId1">
          <grayscl/>
          <lum bright="70000" contrast="-70000"/>
        </a:blip>
        <a:stretch xmlns:a="http://schemas.openxmlformats.org/drawingml/2006/main">
          <a:fillRect/>
        </a:stretch>
      </blipFill>
      <spPr>
        <a:xfrm xmlns:a="http://schemas.openxmlformats.org/drawingml/2006/main">
          <a:off x="5162550" y="8883650"/>
          <a:ext cx="854075" cy="643255"/>
        </a:xfrm>
        <a:prstGeom xmlns:a="http://schemas.openxmlformats.org/drawingml/2006/main" prst="rect">
          <avLst/>
        </a:prstGeom>
        <a:ln xmlns:a="http://schemas.openxmlformats.org/drawingml/2006/main">
          <a:prstDash val="solid"/>
        </a:ln>
      </spPr>
    </pic>
    <clientData/>
  </oneCellAnchor>
</wsDr>
</file>

<file path=xl/drawings/drawing4.xml><?xml version="1.0" encoding="utf-8"?>
<wsDr xmlns="http://schemas.openxmlformats.org/drawingml/2006/spreadsheetDrawing">
  <twoCellAnchor editAs="oneCell">
    <from>
      <col>0</col>
      <colOff>50800</colOff>
      <row>0</row>
      <rowOff>0</rowOff>
    </from>
    <to>
      <col>28</col>
      <colOff>209663</colOff>
      <row>38</row>
      <rowOff>589280</rowOff>
    </to>
    <pic>
      <nvPicPr>
        <cNvPr id="2" name="図形 3" descr="23362985"/>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50800" y="0"/>
          <a:ext cx="6693013" cy="9250680"/>
        </a:xfrm>
        <a:prstGeom xmlns:a="http://schemas.openxmlformats.org/drawingml/2006/main" prst="rect">
          <avLst/>
        </a:prstGeom>
        <a:ln xmlns:a="http://schemas.openxmlformats.org/drawingml/2006/main">
          <a:prstDash val="solid"/>
        </a:ln>
      </spPr>
    </pic>
    <clientData/>
  </twoCellAnchor>
</wsDr>
</file>

<file path=xl/tables/table1.xml><?xml version="1.0" encoding="utf-8"?>
<table xmlns="http://schemas.openxmlformats.org/spreadsheetml/2006/main" id="1" name="テーブル2" displayName="テーブル2" ref="A14:H18" headerRowCount="1" totalsRowShown="0">
  <autoFilter ref="A14:H18"/>
  <tableColumns count="8">
    <tableColumn id="1" name="種別"/>
    <tableColumn id="2" name="日時"/>
    <tableColumn id="8" name="　"/>
    <tableColumn id="9" name="  "/>
    <tableColumn id="3" name="小計" dataDxfId="2">
      <calculatedColumnFormula>見積書!L27</calculatedColumnFormula>
    </tableColumn>
    <tableColumn id="4" name=" "/>
    <tableColumn id="5" name="税" dataDxfId="1">
      <calculatedColumnFormula>見積書!L28</calculatedColumnFormula>
    </tableColumn>
    <tableColumn id="6" name="合計" dataDxfId="0">
      <calculatedColumnFormula>見積書!L29</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テーブル2_2" displayName="テーブル2_2" ref="A56:H60" headerRowCount="1" totalsRowShown="0">
  <autoFilter ref="A56:H60"/>
  <tableColumns count="8">
    <tableColumn id="1" name="種別"/>
    <tableColumn id="2" name="日時"/>
    <tableColumn id="3" name="　"/>
    <tableColumn id="4" name="  "/>
    <tableColumn id="5" name="小計"/>
    <tableColumn id="6" name=" "/>
    <tableColumn id="7" name="税"/>
    <tableColumn id="8" name="合計"/>
  </tableColumns>
  <tableStyleInfo name="TableStyleMedium2" showFirstColumn="0" showLastColumn="0" showRowStripes="1" showColumnStripes="0"/>
</table>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vmlDrawing" Target="/xl/drawings/vmlDrawing2.vml" Id="anysvml"/></Relationships>
</file>

<file path=xl/worksheets/_rels/sheet9.xml.rels><Relationships xmlns="http://schemas.openxmlformats.org/package/2006/relationships"><Relationship Type="http://schemas.openxmlformats.org/officeDocument/2006/relationships/drawing" Target="/xl/drawings/drawing1.xml" Id="rId1"/></Relationships>
</file>

<file path=xl/worksheets/_rels/sheet10.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 Type="http://schemas.openxmlformats.org/officeDocument/2006/relationships/table" Target="/xl/tables/table2.xml" Id="rId3"/></Relationships>
</file>

<file path=xl/worksheets/_rels/sheet11.xml.rels><Relationships xmlns="http://schemas.openxmlformats.org/package/2006/relationships"><Relationship Type="http://schemas.openxmlformats.org/officeDocument/2006/relationships/drawing" Target="/xl/drawings/drawing3.xml" Id="rId1"/></Relationships>
</file>

<file path=xl/worksheets/_rels/sheet12.xml.rels><Relationships xmlns="http://schemas.openxmlformats.org/package/2006/relationships"><Relationship Type="http://schemas.openxmlformats.org/officeDocument/2006/relationships/hyperlink" Target="mailto:info@sagami-life.com" TargetMode="External" Id="rId1"/><Relationship Type="http://schemas.openxmlformats.org/officeDocument/2006/relationships/drawing" Target="/xl/drawings/drawing4.xml" Id="rId2"/></Relationships>
</file>

<file path=xl/worksheets/sheet1.xml><?xml version="1.0" encoding="utf-8"?>
<worksheet xmlns="http://schemas.openxmlformats.org/spreadsheetml/2006/main">
  <sheetPr codeName="Sheet2">
    <outlinePr summaryBelow="1" summaryRight="1"/>
    <pageSetUpPr/>
  </sheetPr>
  <dimension ref="A1:Q270"/>
  <sheetViews>
    <sheetView topLeftCell="A3" zoomScaleNormal="100" workbookViewId="0">
      <selection activeCell="L3" sqref="L3:L50"/>
    </sheetView>
  </sheetViews>
  <sheetFormatPr baseColWidth="8" defaultRowHeight="18"/>
  <cols>
    <col width="9.59765625" customWidth="1" style="14" min="1" max="8"/>
    <col width="9.59765625" customWidth="1" style="15" min="9" max="9"/>
    <col width="8.69921875" customWidth="1" style="13" min="11" max="12"/>
  </cols>
  <sheetData>
    <row r="1" ht="17.55" customHeight="1" s="7" thickTop="1">
      <c r="A1" s="74" t="inlineStr">
        <is>
          <t xml:space="preserve">クライアント名 </t>
        </is>
      </c>
      <c r="B1" s="75" t="n"/>
      <c r="C1" s="407" t="n"/>
      <c r="D1" s="646" t="n"/>
      <c r="E1" s="646" t="n"/>
      <c r="F1" s="646" t="n"/>
      <c r="G1" s="646" t="n"/>
      <c r="H1" s="646" t="n"/>
      <c r="I1" s="647" t="n"/>
      <c r="J1" s="18" t="n"/>
      <c r="K1" s="191" t="inlineStr">
        <is>
          <t>数量</t>
        </is>
      </c>
      <c r="O1" s="18" t="n"/>
    </row>
    <row r="2">
      <c r="A2" s="371" t="inlineStr">
        <is>
          <t>概算工期</t>
        </is>
      </c>
      <c r="B2" s="648" t="n"/>
      <c r="C2" s="363" t="n"/>
      <c r="D2" s="649" t="n"/>
      <c r="E2" s="649" t="n"/>
      <c r="F2" s="649" t="n"/>
      <c r="G2" s="650" t="n"/>
      <c r="H2" s="364" t="inlineStr">
        <is>
          <t>ヵ月</t>
        </is>
      </c>
      <c r="I2" s="651" t="n"/>
      <c r="J2" s="18" t="n"/>
      <c r="K2" s="191" t="inlineStr">
        <is>
          <t>キー</t>
        </is>
      </c>
      <c r="L2" s="13" t="inlineStr">
        <is>
          <t>値</t>
        </is>
      </c>
      <c r="O2" s="18" t="n"/>
    </row>
    <row r="3">
      <c r="A3" s="371" t="inlineStr">
        <is>
          <t>住所</t>
        </is>
      </c>
      <c r="B3" s="648" t="n"/>
      <c r="C3" s="363" t="n"/>
      <c r="D3" s="649" t="n"/>
      <c r="E3" s="649" t="n"/>
      <c r="F3" s="649" t="n"/>
      <c r="G3" s="649" t="n"/>
      <c r="H3" s="649" t="n"/>
      <c r="I3" s="650" t="n"/>
      <c r="J3" s="18" t="n"/>
      <c r="K3" s="191" t="inlineStr">
        <is>
          <t>外壁</t>
        </is>
      </c>
      <c r="L3" s="192">
        <f>G11</f>
        <v/>
      </c>
      <c r="O3" s="18" t="n"/>
    </row>
    <row r="4" ht="18.6" customHeight="1" s="7" thickBot="1">
      <c r="A4" s="361" t="inlineStr">
        <is>
          <t>工事名</t>
        </is>
      </c>
      <c r="B4" s="652" t="n"/>
      <c r="C4" s="411" t="n"/>
      <c r="D4" s="653" t="n"/>
      <c r="E4" s="653" t="n"/>
      <c r="F4" s="653" t="n"/>
      <c r="G4" s="653" t="n"/>
      <c r="H4" s="653" t="n"/>
      <c r="I4" s="654" t="n"/>
      <c r="J4" s="18" t="n"/>
      <c r="K4" s="191" t="inlineStr">
        <is>
          <t>屋根</t>
        </is>
      </c>
      <c r="L4" s="192">
        <f>G20</f>
        <v/>
      </c>
      <c r="O4" s="18" t="n"/>
    </row>
    <row r="5" ht="18.6" customHeight="1" s="7" thickBot="1">
      <c r="A5" s="378" t="n"/>
      <c r="B5" s="655" t="n"/>
      <c r="C5" s="78" t="inlineStr">
        <is>
          <t>東面</t>
        </is>
      </c>
      <c r="D5" s="78" t="inlineStr">
        <is>
          <t>西面</t>
        </is>
      </c>
      <c r="E5" s="78" t="inlineStr">
        <is>
          <t>南面</t>
        </is>
      </c>
      <c r="F5" s="78" t="inlineStr">
        <is>
          <t>北面</t>
        </is>
      </c>
      <c r="G5" s="414" t="inlineStr">
        <is>
          <t>合計　又は（平均）</t>
        </is>
      </c>
      <c r="H5" s="656" t="n"/>
      <c r="I5" s="79" t="inlineStr">
        <is>
          <t>調整量</t>
        </is>
      </c>
      <c r="J5" s="18" t="n"/>
      <c r="K5" s="191" t="inlineStr">
        <is>
          <t>足場</t>
        </is>
      </c>
      <c r="L5" s="192">
        <f>G13</f>
        <v/>
      </c>
      <c r="O5" s="18" t="n"/>
    </row>
    <row r="6" ht="18.6" customFormat="1" customHeight="1" s="657" thickTop="1">
      <c r="A6" s="658" t="inlineStr">
        <is>
          <t>基礎高さ(m)</t>
        </is>
      </c>
      <c r="B6" s="648" t="n"/>
      <c r="C6" s="659" t="n"/>
      <c r="D6" s="660" t="n"/>
      <c r="E6" s="660" t="n"/>
      <c r="F6" s="661" t="n"/>
      <c r="G6" s="662">
        <f>IFERROR(AVERAGE(C6:F6),0)+I6</f>
        <v/>
      </c>
      <c r="H6" s="663" t="inlineStr">
        <is>
          <t>m</t>
        </is>
      </c>
      <c r="I6" s="664" t="n"/>
      <c r="J6" s="665" t="n"/>
      <c r="K6" s="666" t="inlineStr">
        <is>
          <t>軒</t>
        </is>
      </c>
      <c r="L6" s="667">
        <f>G36</f>
        <v/>
      </c>
      <c r="O6" s="665" t="n"/>
    </row>
    <row r="7" customFormat="1" s="657">
      <c r="A7" s="658" t="inlineStr">
        <is>
          <t>外壁外周(m)</t>
        </is>
      </c>
      <c r="B7" s="648" t="n"/>
      <c r="C7" s="668" t="n">
        <v>10</v>
      </c>
      <c r="D7" s="669" t="n">
        <v>12</v>
      </c>
      <c r="E7" s="669" t="n">
        <v>12</v>
      </c>
      <c r="F7" s="670" t="n">
        <v>12</v>
      </c>
      <c r="G7" s="671">
        <f>SUM(C7:F7)+I7</f>
        <v/>
      </c>
      <c r="H7" s="672" t="inlineStr">
        <is>
          <t>ｍ</t>
        </is>
      </c>
      <c r="I7" s="673" t="n"/>
      <c r="J7" s="665" t="n"/>
      <c r="K7" s="666" t="inlineStr">
        <is>
          <t>総面積</t>
        </is>
      </c>
      <c r="L7" s="667">
        <f>G22</f>
        <v/>
      </c>
      <c r="O7" s="665" t="n"/>
    </row>
    <row r="8" ht="18.6" customFormat="1" customHeight="1" s="657" thickBot="1">
      <c r="A8" s="658" t="inlineStr">
        <is>
          <t>外壁高さ(m)</t>
        </is>
      </c>
      <c r="B8" s="648" t="n"/>
      <c r="C8" s="674" t="n">
        <v>6</v>
      </c>
      <c r="D8" s="675" t="n">
        <v>6</v>
      </c>
      <c r="E8" s="675" t="n">
        <v>6</v>
      </c>
      <c r="F8" s="676" t="n">
        <v>6</v>
      </c>
      <c r="G8" s="677">
        <f>IFERROR(AVERAGE(C8:F8),0)+I8</f>
        <v/>
      </c>
      <c r="H8" s="672" t="inlineStr">
        <is>
          <t>m</t>
        </is>
      </c>
      <c r="I8" s="673" t="n"/>
      <c r="J8" s="665" t="n"/>
      <c r="K8" s="666" t="inlineStr">
        <is>
          <t>縦目地</t>
        </is>
      </c>
      <c r="L8" s="667">
        <f>G24</f>
        <v/>
      </c>
      <c r="O8" s="665" t="n"/>
    </row>
    <row r="9" ht="19.2" customFormat="1" customHeight="1" s="678" thickBot="1" thickTop="1">
      <c r="A9" s="679" t="inlineStr">
        <is>
          <t>外壁総面積(㎡)</t>
        </is>
      </c>
      <c r="B9" s="648" t="n"/>
      <c r="C9" s="680">
        <f>SUM(C7*C8)</f>
        <v/>
      </c>
      <c r="D9" s="681">
        <f>SUM(D7*D8)</f>
        <v/>
      </c>
      <c r="E9" s="681">
        <f>SUM(E7*E8)</f>
        <v/>
      </c>
      <c r="F9" s="681">
        <f>SUM(F7*F8)</f>
        <v/>
      </c>
      <c r="G9" s="682">
        <f>SUM(C9:F9)+I9</f>
        <v/>
      </c>
      <c r="H9" s="683" t="inlineStr">
        <is>
          <t>㎡</t>
        </is>
      </c>
      <c r="I9" s="684" t="n"/>
      <c r="J9" s="685" t="n"/>
      <c r="K9" s="686" t="inlineStr">
        <is>
          <t>横目地</t>
        </is>
      </c>
      <c r="L9" s="687">
        <f>G25</f>
        <v/>
      </c>
      <c r="O9" s="685" t="n"/>
    </row>
    <row r="10" ht="19.2" customHeight="1" s="7" thickBot="1" thickTop="1">
      <c r="A10" s="371" t="inlineStr">
        <is>
          <t>控除割合（開口等）</t>
        </is>
      </c>
      <c r="B10" s="648" t="n"/>
      <c r="C10" s="38" t="n"/>
      <c r="D10" s="39" t="n"/>
      <c r="E10" s="39" t="n"/>
      <c r="F10" s="40" t="n"/>
      <c r="G10" s="688">
        <f>IFERROR(AVERAGE(C10:F10),0)+I10</f>
        <v/>
      </c>
      <c r="H10" s="14" t="inlineStr">
        <is>
          <t>%</t>
        </is>
      </c>
      <c r="I10" s="93" t="n"/>
      <c r="J10" s="18" t="n"/>
      <c r="K10" s="191" t="inlineStr">
        <is>
          <t>サッシ廻り</t>
        </is>
      </c>
      <c r="L10" s="667">
        <f>G26+G27+G28</f>
        <v/>
      </c>
      <c r="O10" s="18" t="n"/>
    </row>
    <row r="11" ht="30.45" customFormat="1" customHeight="1" s="689" thickBot="1" thickTop="1">
      <c r="A11" s="690" t="inlineStr">
        <is>
          <t>控除後外壁面積(㎡)</t>
        </is>
      </c>
      <c r="B11" s="648" t="n"/>
      <c r="C11" s="691">
        <f>ROUND(C7*C8*(1-C10),1)</f>
        <v/>
      </c>
      <c r="D11" s="692">
        <f>ROUND(D7*D8*(1-D10),1)</f>
        <v/>
      </c>
      <c r="E11" s="692">
        <f>ROUND(E7*E8*(1-E10),1)</f>
        <v/>
      </c>
      <c r="F11" s="692">
        <f>ROUND(F7*F8*(1-F10),1)</f>
        <v/>
      </c>
      <c r="G11" s="693">
        <f>SUM(C11:F11)</f>
        <v/>
      </c>
      <c r="H11" s="694" t="inlineStr">
        <is>
          <t>㎡</t>
        </is>
      </c>
      <c r="I11" s="695" t="n"/>
      <c r="J11" s="696" t="n"/>
      <c r="K11" s="697" t="inlineStr">
        <is>
          <t>ﾊﾞﾙｺﾆｰ</t>
        </is>
      </c>
      <c r="L11" s="698">
        <f>G29</f>
        <v/>
      </c>
      <c r="O11" s="696" t="n"/>
    </row>
    <row r="12" ht="19.2" customFormat="1" customHeight="1" s="13" thickBot="1" thickTop="1">
      <c r="A12" s="375" t="inlineStr">
        <is>
          <t>軒先長さ</t>
        </is>
      </c>
      <c r="B12" s="648" t="n"/>
      <c r="C12" s="699" t="n"/>
      <c r="D12" s="700" t="n"/>
      <c r="E12" s="700" t="n"/>
      <c r="F12" s="701" t="n"/>
      <c r="G12" s="702">
        <f>IFERROR(AVERAGE(C12:F12),0)+I12</f>
        <v/>
      </c>
      <c r="H12" s="15" t="inlineStr">
        <is>
          <t>ｍ</t>
        </is>
      </c>
      <c r="I12" s="93" t="n"/>
      <c r="J12" s="24" t="n"/>
      <c r="K12" s="191" t="inlineStr">
        <is>
          <t>基礎</t>
        </is>
      </c>
      <c r="L12" s="667">
        <f>G30</f>
        <v/>
      </c>
      <c r="O12" s="24" t="n"/>
    </row>
    <row r="13" ht="18.6" customFormat="1" customHeight="1" s="8" thickTop="1">
      <c r="A13" s="380" t="inlineStr">
        <is>
          <t>足場面積</t>
        </is>
      </c>
      <c r="B13" s="648" t="n"/>
      <c r="C13" s="703">
        <f>IF(SUM(E12,F12,C7)=0,"",(SUM(E12,F12,C7)+0.2)*(C8+1))</f>
        <v/>
      </c>
      <c r="D13" s="704">
        <f>IF(SUM(E12,F12,D7)=0,"",(SUM(E12,F12,D7)+0.2)*(D8+1))</f>
        <v/>
      </c>
      <c r="E13" s="704">
        <f>IF(SUM(C12,D12,E7)=0,"",(SUM(C12,D12,E7)+0.2)*(E8+1))</f>
        <v/>
      </c>
      <c r="F13" s="704">
        <f>IF(SUM(D12,C12,F7)=0,"",(SUM(D12,C12,F7)+0.2)*(F8+1))</f>
        <v/>
      </c>
      <c r="G13" s="693">
        <f>SUM(C13:F13)+I13</f>
        <v/>
      </c>
      <c r="H13" s="102" t="inlineStr">
        <is>
          <t>㎡</t>
        </is>
      </c>
      <c r="I13" s="103" t="n"/>
      <c r="J13" s="25" t="n"/>
      <c r="K13" s="191" t="inlineStr">
        <is>
          <t>横樋</t>
        </is>
      </c>
      <c r="L13" s="667">
        <f>G32</f>
        <v/>
      </c>
      <c r="O13" s="25" t="n"/>
    </row>
    <row r="14" ht="18.6" customHeight="1" s="7" thickBot="1">
      <c r="A14" s="387" t="inlineStr">
        <is>
          <t>予備欄</t>
        </is>
      </c>
      <c r="B14" s="705" t="n"/>
      <c r="C14" s="104" t="n"/>
      <c r="D14" s="105" t="n"/>
      <c r="E14" s="105" t="n"/>
      <c r="F14" s="105" t="n"/>
      <c r="G14" s="105" t="n"/>
      <c r="H14" s="105" t="n"/>
      <c r="I14" s="106" t="n"/>
      <c r="J14" s="18" t="n"/>
      <c r="K14" s="191" t="inlineStr">
        <is>
          <t>竪樋</t>
        </is>
      </c>
      <c r="L14" s="667">
        <f>G33</f>
        <v/>
      </c>
      <c r="O14" s="18" t="n"/>
    </row>
    <row r="15" ht="18.6" customFormat="1" customHeight="1" s="706" thickTop="1">
      <c r="A15" s="707" t="inlineStr">
        <is>
          <t>軒先外周(m)</t>
        </is>
      </c>
      <c r="B15" s="708" t="n"/>
      <c r="C15" s="709" t="n">
        <v>7</v>
      </c>
      <c r="D15" s="710" t="n">
        <v>7</v>
      </c>
      <c r="E15" s="710" t="n">
        <v>7</v>
      </c>
      <c r="F15" s="711" t="n">
        <v>7</v>
      </c>
      <c r="G15" s="712">
        <f>SUM(C15:F15)+I15</f>
        <v/>
      </c>
      <c r="H15" s="713" t="inlineStr">
        <is>
          <t>ｍ</t>
        </is>
      </c>
      <c r="I15" s="714" t="n"/>
      <c r="J15" s="715" t="n"/>
      <c r="K15" s="697" t="inlineStr">
        <is>
          <t>破風</t>
        </is>
      </c>
      <c r="L15" s="667">
        <f>G34</f>
        <v/>
      </c>
      <c r="O15" s="715" t="n"/>
    </row>
    <row r="16" ht="18.6" customFormat="1" customHeight="1" s="706" thickBot="1">
      <c r="A16" s="716" t="inlineStr">
        <is>
          <t>勾配度数(°)</t>
        </is>
      </c>
      <c r="B16" s="717" t="n"/>
      <c r="C16" s="718" t="n">
        <v>25</v>
      </c>
      <c r="D16" s="719" t="n">
        <v>25</v>
      </c>
      <c r="E16" s="719" t="n">
        <v>25</v>
      </c>
      <c r="F16" s="720" t="n">
        <v>25</v>
      </c>
      <c r="G16" s="721">
        <f>IFERROR(AVERAGE(C16:F16),"")</f>
        <v/>
      </c>
      <c r="H16" s="722" t="inlineStr">
        <is>
          <t>°</t>
        </is>
      </c>
      <c r="I16" s="723" t="n"/>
      <c r="J16" s="715" t="n"/>
      <c r="K16" s="697" t="inlineStr">
        <is>
          <t>幕板</t>
        </is>
      </c>
      <c r="L16" s="667">
        <f>G35</f>
        <v/>
      </c>
      <c r="O16" s="715" t="n"/>
    </row>
    <row r="17" ht="18.6" customFormat="1" customHeight="1" s="706" thickTop="1">
      <c r="A17" s="724" t="inlineStr">
        <is>
          <t>勾配率（寸）</t>
        </is>
      </c>
      <c r="B17" s="648" t="n"/>
      <c r="C17" s="725">
        <f>10*TAN(RADIANS(C16))</f>
        <v/>
      </c>
      <c r="D17" s="725">
        <f>10*TAN(RADIANS(D16))</f>
        <v/>
      </c>
      <c r="E17" s="725">
        <f>10*TAN(RADIANS(E16))</f>
        <v/>
      </c>
      <c r="F17" s="725">
        <f>10*TAN(RADIANS(F16))</f>
        <v/>
      </c>
      <c r="G17" s="726">
        <f>IFERROR(AVERAGE(C17:F17),"")</f>
        <v/>
      </c>
      <c r="H17" s="722" t="inlineStr">
        <is>
          <t>寸</t>
        </is>
      </c>
      <c r="I17" s="723" t="n"/>
      <c r="J17" s="715" t="n"/>
      <c r="K17" s="698" t="inlineStr">
        <is>
          <t>屋上</t>
        </is>
      </c>
      <c r="L17" s="698">
        <f>G20</f>
        <v/>
      </c>
      <c r="O17" s="715" t="n"/>
    </row>
    <row r="18" ht="18.6" customFormat="1" customHeight="1" s="706" thickBot="1">
      <c r="A18" s="724" t="inlineStr">
        <is>
          <t>屋根面積(㎡)</t>
        </is>
      </c>
      <c r="B18" s="648" t="n"/>
      <c r="C18" s="727" t="inlineStr">
        <is>
          <t>-</t>
        </is>
      </c>
      <c r="D18" s="727" t="inlineStr">
        <is>
          <t>-</t>
        </is>
      </c>
      <c r="E18" s="727" t="inlineStr">
        <is>
          <t>-</t>
        </is>
      </c>
      <c r="F18" s="727" t="inlineStr">
        <is>
          <t>-</t>
        </is>
      </c>
      <c r="G18" s="682">
        <f> (C15 * E15) * SQRT(1 + (G17/10)^2)+I18</f>
        <v/>
      </c>
      <c r="H18" s="722" t="inlineStr">
        <is>
          <t>㎡</t>
        </is>
      </c>
      <c r="I18" s="723" t="n"/>
      <c r="J18" s="715" t="n"/>
      <c r="K18" s="698" t="n"/>
      <c r="L18" s="698" t="n"/>
      <c r="O18" s="715" t="n"/>
    </row>
    <row r="19" ht="19.2" customHeight="1" s="7" thickBot="1" thickTop="1">
      <c r="A19" s="393" t="inlineStr">
        <is>
          <t>控除割合（開口等）</t>
        </is>
      </c>
      <c r="B19" s="717" t="n"/>
      <c r="C19" s="50" t="n">
        <v>0</v>
      </c>
      <c r="D19" s="51" t="n">
        <v>0</v>
      </c>
      <c r="E19" s="51" t="n">
        <v>0</v>
      </c>
      <c r="F19" s="52" t="n">
        <v>0</v>
      </c>
      <c r="G19" s="688">
        <f>IFERROR(AVERAGE(C19:F19),0)+I19</f>
        <v/>
      </c>
      <c r="H19" s="14" t="inlineStr">
        <is>
          <t>%</t>
        </is>
      </c>
      <c r="I19" s="93" t="n"/>
      <c r="J19" s="18" t="n"/>
      <c r="K19" s="24" t="n"/>
      <c r="L19" s="24" t="n"/>
      <c r="O19" s="18" t="n"/>
    </row>
    <row r="20" ht="30.45" customFormat="1" customHeight="1" s="8" thickTop="1">
      <c r="A20" s="728" t="inlineStr">
        <is>
          <t>控除後屋根面積(㎡)</t>
        </is>
      </c>
      <c r="B20" s="729" t="n"/>
      <c r="C20" s="116" t="inlineStr">
        <is>
          <t>-</t>
        </is>
      </c>
      <c r="D20" s="116" t="inlineStr">
        <is>
          <t>-</t>
        </is>
      </c>
      <c r="E20" s="116" t="inlineStr">
        <is>
          <t>-</t>
        </is>
      </c>
      <c r="F20" s="116" t="inlineStr">
        <is>
          <t>-</t>
        </is>
      </c>
      <c r="G20" s="730">
        <f>IFERROR(ROUND(G18*(1-G19),1)+I20,"")</f>
        <v/>
      </c>
      <c r="H20" s="118" t="inlineStr">
        <is>
          <t>㎡</t>
        </is>
      </c>
      <c r="I20" s="119" t="n"/>
      <c r="J20" s="25" t="n"/>
      <c r="K20" s="24" t="n"/>
      <c r="L20" s="24" t="n"/>
      <c r="O20" s="25" t="n"/>
    </row>
    <row r="21" ht="18.6" customHeight="1" s="7" thickBot="1">
      <c r="A21" s="367" t="inlineStr">
        <is>
          <t>予備欄</t>
        </is>
      </c>
      <c r="B21" s="652" t="n"/>
      <c r="C21" s="120" t="n"/>
      <c r="D21" s="120" t="n"/>
      <c r="E21" s="120" t="n"/>
      <c r="F21" s="120" t="n"/>
      <c r="G21" s="120" t="n"/>
      <c r="H21" s="120" t="n"/>
      <c r="I21" s="121" t="n"/>
      <c r="J21" s="18" t="n"/>
      <c r="K21" s="24" t="n"/>
      <c r="L21" s="24" t="n"/>
      <c r="O21" s="18" t="n"/>
    </row>
    <row r="22" ht="18" customHeight="1" s="7">
      <c r="A22" s="731" t="inlineStr">
        <is>
          <t>外装総面積(㎡)</t>
        </is>
      </c>
      <c r="B22" s="655" t="n"/>
      <c r="C22" s="122" t="inlineStr">
        <is>
          <t>-</t>
        </is>
      </c>
      <c r="D22" s="122" t="inlineStr">
        <is>
          <t>-</t>
        </is>
      </c>
      <c r="E22" s="122" t="inlineStr">
        <is>
          <t>-</t>
        </is>
      </c>
      <c r="F22" s="122" t="inlineStr">
        <is>
          <t>-</t>
        </is>
      </c>
      <c r="G22" s="732">
        <f>SUM(G9+G18)</f>
        <v/>
      </c>
      <c r="H22" s="124" t="inlineStr">
        <is>
          <t>㎡</t>
        </is>
      </c>
      <c r="I22" s="125" t="n"/>
      <c r="J22" s="18" t="n"/>
      <c r="K22" s="24" t="n"/>
      <c r="L22" s="24" t="n"/>
      <c r="O22" s="18" t="n"/>
    </row>
    <row r="23" ht="34.95" customHeight="1" s="7" thickBot="1">
      <c r="A23" s="733" t="inlineStr">
        <is>
          <t>控除後外装総面積(㎡)</t>
        </is>
      </c>
      <c r="B23" s="705" t="n"/>
      <c r="C23" s="126" t="inlineStr">
        <is>
          <t>-</t>
        </is>
      </c>
      <c r="D23" s="126" t="inlineStr">
        <is>
          <t>-</t>
        </is>
      </c>
      <c r="E23" s="126" t="inlineStr">
        <is>
          <t>-</t>
        </is>
      </c>
      <c r="F23" s="126" t="inlineStr">
        <is>
          <t>-</t>
        </is>
      </c>
      <c r="G23" s="734">
        <f>IFERROR(SUM(G11+G20),0)</f>
        <v/>
      </c>
      <c r="H23" s="128" t="inlineStr">
        <is>
          <t>㎡</t>
        </is>
      </c>
      <c r="I23" s="129" t="n"/>
      <c r="J23" s="18" t="n"/>
      <c r="K23" s="24" t="n"/>
      <c r="L23" s="24" t="n"/>
      <c r="O23" s="18" t="n"/>
    </row>
    <row r="24" ht="18.6" customHeight="1" s="7" thickTop="1">
      <c r="A24" s="378" t="inlineStr">
        <is>
          <t>板間目地　縦（ｍ）</t>
        </is>
      </c>
      <c r="B24" s="655" t="n"/>
      <c r="C24" s="75" t="inlineStr">
        <is>
          <t>本数</t>
        </is>
      </c>
      <c r="D24" s="53" t="n"/>
      <c r="E24" s="130" t="inlineStr">
        <is>
          <t>本      D*W</t>
        </is>
      </c>
      <c r="F24" s="55" t="n"/>
      <c r="G24" s="712">
        <f>SUM(D24*G8)+I24</f>
        <v/>
      </c>
      <c r="H24" s="131" t="inlineStr">
        <is>
          <t>ｍ</t>
        </is>
      </c>
      <c r="I24" s="132" t="n"/>
      <c r="J24" s="18" t="n"/>
      <c r="K24" s="24" t="n"/>
      <c r="L24" s="24" t="n"/>
      <c r="O24" s="18" t="n"/>
    </row>
    <row r="25">
      <c r="A25" s="375" t="inlineStr">
        <is>
          <t>板間目地　横（ｍ）</t>
        </is>
      </c>
      <c r="B25" s="648" t="n"/>
      <c r="C25" s="133" t="inlineStr">
        <is>
          <t>本数</t>
        </is>
      </c>
      <c r="D25" s="54" t="n"/>
      <c r="E25" s="134" t="inlineStr">
        <is>
          <t>本      D*W</t>
        </is>
      </c>
      <c r="F25" s="56" t="n"/>
      <c r="G25" s="735">
        <f>SUM(D25*G7)+I25</f>
        <v/>
      </c>
      <c r="H25" s="15" t="inlineStr">
        <is>
          <t>ｍ</t>
        </is>
      </c>
      <c r="I25" s="93" t="n"/>
      <c r="J25" s="18" t="n"/>
      <c r="K25" s="24" t="n"/>
      <c r="L25" s="24" t="n"/>
      <c r="O25" s="18" t="n"/>
    </row>
    <row r="26">
      <c r="A26" s="375" t="inlineStr">
        <is>
          <t>ｻｯｼ廻りｼｰﾙ大（ｍ）</t>
        </is>
      </c>
      <c r="B26" s="648" t="n"/>
      <c r="C26" s="133" t="inlineStr">
        <is>
          <t>周囲長</t>
        </is>
      </c>
      <c r="D26" s="54" t="n"/>
      <c r="E26" s="134" t="inlineStr">
        <is>
          <t>数量</t>
        </is>
      </c>
      <c r="F26" s="54" t="n"/>
      <c r="G26" s="735">
        <f>SUM(D26*F26)+I26</f>
        <v/>
      </c>
      <c r="H26" s="15" t="inlineStr">
        <is>
          <t>ｍ</t>
        </is>
      </c>
      <c r="I26" s="93" t="n"/>
      <c r="J26" s="18" t="n"/>
      <c r="K26" s="24" t="n"/>
      <c r="L26" s="24" t="n"/>
      <c r="O26" s="18" t="n"/>
    </row>
    <row r="27">
      <c r="A27" s="375" t="inlineStr">
        <is>
          <t>ｻｯｼ廻りｼｰﾙ中（ｍ）</t>
        </is>
      </c>
      <c r="B27" s="648" t="n"/>
      <c r="C27" s="133" t="inlineStr">
        <is>
          <t>周囲長</t>
        </is>
      </c>
      <c r="D27" s="54" t="n"/>
      <c r="E27" s="134" t="inlineStr">
        <is>
          <t>数量</t>
        </is>
      </c>
      <c r="F27" s="54" t="n"/>
      <c r="G27" s="735">
        <f>SUM(D27*F27)+I27</f>
        <v/>
      </c>
      <c r="H27" s="15" t="inlineStr">
        <is>
          <t>ｍ</t>
        </is>
      </c>
      <c r="I27" s="93" t="n"/>
      <c r="J27" s="18" t="n"/>
      <c r="K27" s="24" t="n"/>
      <c r="L27" s="24" t="n"/>
      <c r="O27" s="18" t="n"/>
    </row>
    <row r="28">
      <c r="A28" s="375" t="inlineStr">
        <is>
          <t>ｻｯｼ廻りｼｰﾙ小（ｍ）</t>
        </is>
      </c>
      <c r="B28" s="648" t="n"/>
      <c r="C28" s="133" t="inlineStr">
        <is>
          <t>周囲長</t>
        </is>
      </c>
      <c r="D28" s="54" t="n"/>
      <c r="E28" s="134" t="inlineStr">
        <is>
          <t>数量</t>
        </is>
      </c>
      <c r="F28" s="54" t="n"/>
      <c r="G28" s="735">
        <f>SUM(D28*F28)+I28</f>
        <v/>
      </c>
      <c r="H28" s="15" t="inlineStr">
        <is>
          <t>ｍ</t>
        </is>
      </c>
      <c r="I28" s="93" t="n"/>
      <c r="J28" s="18" t="n"/>
      <c r="K28" s="24" t="n"/>
      <c r="L28" s="24" t="n"/>
      <c r="O28" s="18" t="n"/>
    </row>
    <row r="29" ht="18.6" customHeight="1" s="7" thickBot="1">
      <c r="A29" s="391" t="inlineStr">
        <is>
          <t>ﾊﾞﾙｺﾆｰ面積（ｍ）</t>
        </is>
      </c>
      <c r="B29" s="705" t="n"/>
      <c r="C29" s="136" t="inlineStr">
        <is>
          <t>長辺</t>
        </is>
      </c>
      <c r="D29" s="54" t="n"/>
      <c r="E29" s="137" t="inlineStr">
        <is>
          <t>短辺</t>
        </is>
      </c>
      <c r="F29" s="54" t="n"/>
      <c r="G29" s="735">
        <f>SUM(D29*F29)+I29</f>
        <v/>
      </c>
      <c r="H29" s="15" t="inlineStr">
        <is>
          <t>ｍ</t>
        </is>
      </c>
      <c r="I29" s="93" t="n"/>
      <c r="J29" s="18" t="n"/>
      <c r="K29" s="24" t="n"/>
      <c r="L29" s="24" t="n"/>
      <c r="O29" s="18" t="n"/>
    </row>
    <row r="30" ht="19.2" customHeight="1" s="7" thickBot="1" thickTop="1">
      <c r="A30" s="361" t="inlineStr">
        <is>
          <t>基礎面積(㎡)</t>
        </is>
      </c>
      <c r="B30" s="652" t="n"/>
      <c r="C30" s="736" t="b">
        <v>0</v>
      </c>
      <c r="D30" s="737" t="b">
        <v>0</v>
      </c>
      <c r="E30" s="738" t="b">
        <v>0</v>
      </c>
      <c r="F30" s="739" t="b">
        <v>0</v>
      </c>
      <c r="G30" s="740">
        <f>IF(C30, C7*C6, 0)+IF(D30, D7*D6, 0)+IF(E30, E7*E6, 0)+IF(F30, F7*F6, 0)+I30</f>
        <v/>
      </c>
      <c r="H30" s="139" t="inlineStr">
        <is>
          <t>㎡</t>
        </is>
      </c>
      <c r="I30" s="121" t="n"/>
      <c r="J30" s="18" t="n"/>
      <c r="K30" s="24" t="n"/>
      <c r="L30" s="24" t="n"/>
      <c r="O30" s="18" t="n"/>
    </row>
    <row r="31" ht="18.6" customHeight="1" s="7" thickBot="1">
      <c r="A31" s="741" t="n"/>
      <c r="B31" s="742" t="n"/>
      <c r="C31" s="743" t="inlineStr">
        <is>
          <t>付帯数量</t>
        </is>
      </c>
      <c r="D31" s="744" t="n"/>
      <c r="E31" s="744" t="n"/>
      <c r="F31" s="744" t="n"/>
      <c r="G31" s="744" t="n"/>
      <c r="H31" s="745" t="n"/>
      <c r="I31" s="132" t="inlineStr">
        <is>
          <t>調整量</t>
        </is>
      </c>
      <c r="J31" s="18" t="n"/>
      <c r="K31" s="24" t="n"/>
      <c r="L31" s="24" t="n"/>
      <c r="O31" s="18" t="n"/>
    </row>
    <row r="32" ht="19.2" customHeight="1" s="7" thickBot="1" thickTop="1">
      <c r="A32" s="746" t="inlineStr">
        <is>
          <t>軒樋(m)</t>
        </is>
      </c>
      <c r="B32" s="747" t="n"/>
      <c r="C32" s="748" t="b">
        <v>0</v>
      </c>
      <c r="D32" s="749" t="b">
        <v>0</v>
      </c>
      <c r="E32" s="749" t="b">
        <v>0</v>
      </c>
      <c r="F32" s="750" t="b">
        <v>0</v>
      </c>
      <c r="G32" s="671">
        <f t="array" ref="G32">SUMPRODUCT(C15:F15 * --(C32:F32))+I32</f>
        <v/>
      </c>
      <c r="H32" s="14" t="inlineStr">
        <is>
          <t>ｍ</t>
        </is>
      </c>
      <c r="I32" s="93" t="n"/>
      <c r="J32" s="18" t="n"/>
      <c r="K32" s="24" t="n"/>
      <c r="L32" s="24" t="n"/>
      <c r="O32" s="18" t="n"/>
    </row>
    <row r="33" ht="19.2" customHeight="1" s="7" thickBot="1" thickTop="1">
      <c r="A33" s="419" t="inlineStr">
        <is>
          <t>竪樋(m)</t>
        </is>
      </c>
      <c r="B33" s="751" t="n"/>
      <c r="C33" s="140" t="inlineStr">
        <is>
          <t>本数</t>
        </is>
      </c>
      <c r="D33" s="73" t="n"/>
      <c r="E33" s="141" t="inlineStr">
        <is>
          <t>本</t>
        </is>
      </c>
      <c r="F33" s="142" t="n"/>
      <c r="G33" s="671">
        <f>SUM(D33*G8)+I33</f>
        <v/>
      </c>
      <c r="H33" s="14" t="inlineStr">
        <is>
          <t>ｍ</t>
        </is>
      </c>
      <c r="I33" s="93" t="n"/>
      <c r="J33" s="18" t="n"/>
      <c r="K33" s="24" t="n"/>
      <c r="L33" s="24" t="n"/>
      <c r="O33" s="18" t="n"/>
    </row>
    <row r="34" ht="18.6" customHeight="1" s="7" thickTop="1">
      <c r="A34" s="371" t="inlineStr">
        <is>
          <t>破風(m)</t>
        </is>
      </c>
      <c r="B34" s="648" t="n"/>
      <c r="C34" s="752" t="b">
        <v>0</v>
      </c>
      <c r="D34" s="753" t="b">
        <v>0</v>
      </c>
      <c r="E34" s="753" t="b">
        <v>0</v>
      </c>
      <c r="F34" s="754" t="b">
        <v>0</v>
      </c>
      <c r="G34" s="671">
        <f>G15+I34+J34+K34+L34+O34</f>
        <v/>
      </c>
      <c r="H34" s="14" t="inlineStr">
        <is>
          <t>ｍ</t>
        </is>
      </c>
      <c r="I34" s="93" t="n"/>
      <c r="J34" s="755">
        <f>IF(C34,C15 * ( ( (SQRT(1+(E17/10)^2) + SQRT(1+(F17/10)^2)) / 2 ) - 1 ),
  0
)</f>
        <v/>
      </c>
      <c r="K34" s="756">
        <f>IF(D34,D15*(((SQRT(1+(E17/10)^2)+SQRT(1+(F17/10)^2))/2)-1))</f>
        <v/>
      </c>
      <c r="L34" s="756">
        <f>IF(E34,E15*(((SQRT(1+(C15/10)^2)+SQRT(1+(D15/10)^2))/2)-1))</f>
        <v/>
      </c>
      <c r="O34" s="755">
        <f>IF(F34,F15*(((SQRT(1+(C15/10)^2)+SQRT(1+(D15/10)^2))/2)-1))</f>
        <v/>
      </c>
      <c r="P34" s="755" t="n"/>
      <c r="Q34" s="755" t="n"/>
    </row>
    <row r="35">
      <c r="A35" s="371" t="inlineStr">
        <is>
          <t>幕板(m)</t>
        </is>
      </c>
      <c r="B35" s="648" t="n"/>
      <c r="C35" s="757" t="b">
        <v>0</v>
      </c>
      <c r="D35" s="758" t="b">
        <v>0</v>
      </c>
      <c r="E35" s="758" t="b">
        <v>0</v>
      </c>
      <c r="F35" s="759" t="b">
        <v>0</v>
      </c>
      <c r="G35" s="671">
        <f t="array" ref="G35">SUMPRODUCT(C7:F7 * --(C35:F35))+I35</f>
        <v/>
      </c>
      <c r="H35" s="14" t="inlineStr">
        <is>
          <t>ｍ</t>
        </is>
      </c>
      <c r="I35" s="93" t="n"/>
      <c r="J35" s="18" t="n"/>
      <c r="K35" s="24" t="n"/>
      <c r="L35" s="24" t="n"/>
      <c r="O35" s="18" t="n"/>
    </row>
    <row r="36" ht="18.6" customHeight="1" s="7" thickBot="1">
      <c r="A36" s="361" t="inlineStr">
        <is>
          <t>軒面積(㎡)</t>
        </is>
      </c>
      <c r="B36" s="652" t="n"/>
      <c r="C36" s="760" t="b">
        <v>0</v>
      </c>
      <c r="D36" s="761" t="b">
        <v>0</v>
      </c>
      <c r="E36" s="761" t="b">
        <v>0</v>
      </c>
      <c r="F36" s="762" t="b">
        <v>0</v>
      </c>
      <c r="G36" s="740">
        <f>IF(C36, C7*C12, 0)+IF(D36, D7*D12, 0)+IF(E36, E7*E12, 0)+IF(F36, F7*F12, 0)+I36</f>
        <v/>
      </c>
      <c r="H36" s="139" t="inlineStr">
        <is>
          <t>㎡</t>
        </is>
      </c>
      <c r="I36" s="143" t="n"/>
      <c r="J36" s="18" t="n"/>
      <c r="K36" s="24" t="n"/>
      <c r="L36" s="24" t="n"/>
      <c r="O36" s="18" t="n"/>
    </row>
    <row r="37">
      <c r="A37" s="0" t="n"/>
      <c r="B37" s="0" t="n"/>
      <c r="C37" s="0" t="n"/>
      <c r="D37" s="0" t="n"/>
      <c r="E37" s="0" t="n"/>
      <c r="F37" s="0" t="n"/>
      <c r="G37" s="0" t="n"/>
      <c r="H37" s="0" t="n"/>
      <c r="I37" s="13" t="n"/>
    </row>
    <row r="38">
      <c r="A38" s="0" t="n"/>
      <c r="B38" s="0" t="n"/>
      <c r="C38" s="0" t="n"/>
      <c r="D38" s="0" t="n"/>
      <c r="E38" s="0" t="n"/>
      <c r="F38" s="0" t="n"/>
      <c r="G38" s="0" t="n"/>
      <c r="H38" s="0" t="n"/>
      <c r="I38" s="13" t="n"/>
    </row>
    <row r="39">
      <c r="A39" s="0" t="n"/>
      <c r="B39" s="0" t="n"/>
      <c r="C39" s="0" t="n"/>
      <c r="D39" s="0" t="n"/>
      <c r="E39" s="0" t="n"/>
      <c r="F39" s="0" t="n"/>
      <c r="G39" s="0" t="n"/>
      <c r="H39" s="0" t="n"/>
      <c r="I39" s="13" t="n"/>
    </row>
    <row r="40">
      <c r="A40" s="0" t="n"/>
      <c r="B40" s="0" t="n"/>
      <c r="C40" s="0" t="n"/>
      <c r="D40" s="0" t="n"/>
      <c r="E40" s="0" t="n"/>
      <c r="F40" s="0" t="n"/>
      <c r="G40" s="0" t="n"/>
      <c r="H40" s="0" t="n"/>
      <c r="I40" s="13" t="n"/>
    </row>
    <row r="41">
      <c r="A41" s="0" t="n"/>
      <c r="B41" s="0" t="n"/>
      <c r="C41" s="0" t="n"/>
      <c r="D41" s="0" t="n"/>
      <c r="E41" s="0" t="n"/>
      <c r="F41" s="0" t="n"/>
      <c r="G41" s="0" t="n"/>
      <c r="H41" s="0" t="n"/>
      <c r="I41" s="13" t="n"/>
    </row>
    <row r="42">
      <c r="A42" s="0" t="n"/>
      <c r="B42" s="0" t="n"/>
      <c r="C42" s="0" t="n"/>
      <c r="D42" s="0" t="n"/>
      <c r="E42" s="0" t="n"/>
      <c r="F42" s="0" t="n"/>
      <c r="G42" s="0" t="n"/>
      <c r="H42" s="0" t="n"/>
      <c r="I42" s="13" t="n"/>
    </row>
    <row r="43">
      <c r="A43" s="0" t="n"/>
      <c r="B43" s="0" t="n"/>
      <c r="C43" s="0" t="n"/>
      <c r="D43" s="0" t="n"/>
      <c r="E43" s="0" t="n"/>
      <c r="F43" s="0" t="n"/>
      <c r="G43" s="0" t="n"/>
      <c r="H43" s="0" t="n"/>
      <c r="I43" s="13" t="n"/>
    </row>
    <row r="44">
      <c r="A44" s="0" t="n"/>
      <c r="B44" s="0" t="n"/>
      <c r="C44" s="0" t="n"/>
      <c r="D44" s="0" t="n"/>
      <c r="E44" s="0" t="n"/>
      <c r="F44" s="0" t="n"/>
      <c r="G44" s="0" t="n"/>
      <c r="H44" s="0" t="n"/>
      <c r="I44" s="13" t="n"/>
    </row>
    <row r="45">
      <c r="A45" s="0" t="n"/>
      <c r="B45" s="0" t="n"/>
      <c r="C45" s="0" t="n"/>
      <c r="D45" s="0" t="n"/>
      <c r="E45" s="0" t="n"/>
      <c r="F45" s="0" t="n"/>
      <c r="G45" s="0" t="n"/>
      <c r="H45" s="0" t="n"/>
      <c r="I45" s="13" t="n"/>
    </row>
    <row r="46">
      <c r="A46" s="0" t="n"/>
      <c r="B46" s="0" t="n"/>
      <c r="C46" s="0" t="n"/>
      <c r="D46" s="0" t="n"/>
      <c r="E46" s="0" t="n"/>
      <c r="F46" s="0" t="n"/>
      <c r="G46" s="0" t="n"/>
      <c r="H46" s="0" t="n"/>
      <c r="I46" s="13" t="n"/>
    </row>
    <row r="47">
      <c r="A47" s="0" t="n"/>
      <c r="B47" s="0" t="n"/>
      <c r="C47" s="0" t="n"/>
      <c r="D47" s="0" t="n"/>
      <c r="E47" s="0" t="n"/>
      <c r="F47" s="0" t="n"/>
      <c r="G47" s="0" t="n"/>
      <c r="H47" s="0" t="n"/>
      <c r="I47" s="13" t="n"/>
    </row>
    <row r="48">
      <c r="A48" s="0" t="n"/>
      <c r="B48" s="0" t="n"/>
      <c r="C48" s="0" t="n"/>
      <c r="D48" s="0" t="n"/>
      <c r="E48" s="0" t="n"/>
      <c r="F48" s="0" t="n"/>
      <c r="G48" s="0" t="n"/>
      <c r="H48" s="0" t="n"/>
      <c r="I48" s="13" t="n"/>
    </row>
    <row r="49">
      <c r="A49" s="0" t="n"/>
      <c r="B49" s="0" t="n"/>
      <c r="C49" s="0" t="n"/>
      <c r="D49" s="0" t="n"/>
      <c r="E49" s="0" t="n"/>
      <c r="F49" s="0" t="n"/>
      <c r="G49" s="0" t="n"/>
      <c r="H49" s="0" t="n"/>
      <c r="I49" s="13" t="n"/>
    </row>
    <row r="50">
      <c r="A50" s="0" t="n"/>
      <c r="B50" s="0" t="n"/>
      <c r="C50" s="0" t="n"/>
      <c r="D50" s="0" t="n"/>
      <c r="E50" s="0" t="n"/>
      <c r="F50" s="0" t="n"/>
      <c r="G50" s="0" t="n"/>
      <c r="H50" s="0" t="n"/>
      <c r="I50" s="13" t="n"/>
    </row>
    <row r="51">
      <c r="A51" s="0" t="n"/>
      <c r="B51" s="0" t="n"/>
      <c r="C51" s="0" t="n"/>
      <c r="D51" s="0" t="n"/>
      <c r="E51" s="0" t="n"/>
      <c r="F51" s="0" t="n"/>
      <c r="G51" s="0" t="n"/>
      <c r="H51" s="0" t="n"/>
      <c r="I51" s="13" t="n"/>
    </row>
    <row r="52">
      <c r="A52" s="0" t="n"/>
      <c r="B52" s="0" t="n"/>
      <c r="C52" s="0" t="n"/>
      <c r="D52" s="0" t="n"/>
      <c r="E52" s="0" t="n"/>
      <c r="F52" s="0" t="n"/>
      <c r="G52" s="0" t="n"/>
      <c r="H52" s="0" t="n"/>
      <c r="I52" s="13" t="n"/>
    </row>
    <row r="53">
      <c r="A53" s="0" t="n"/>
      <c r="B53" s="0" t="n"/>
      <c r="C53" s="0" t="n"/>
      <c r="D53" s="0" t="n"/>
      <c r="E53" s="0" t="n"/>
      <c r="F53" s="0" t="n"/>
      <c r="G53" s="0" t="n"/>
      <c r="H53" s="0" t="n"/>
      <c r="I53" s="13" t="n"/>
    </row>
    <row r="54">
      <c r="A54" s="0" t="n"/>
      <c r="B54" s="0" t="n"/>
      <c r="C54" s="0" t="n"/>
      <c r="D54" s="0" t="n"/>
      <c r="E54" s="0" t="n"/>
      <c r="F54" s="0" t="n"/>
      <c r="G54" s="0" t="n"/>
      <c r="H54" s="0" t="n"/>
      <c r="I54" s="13" t="n"/>
    </row>
    <row r="55">
      <c r="A55" s="0" t="n"/>
      <c r="B55" s="0" t="n"/>
      <c r="C55" s="0" t="n"/>
      <c r="D55" s="0" t="n"/>
      <c r="E55" s="0" t="n"/>
      <c r="F55" s="0" t="n"/>
      <c r="G55" s="0" t="n"/>
      <c r="H55" s="0" t="n"/>
      <c r="I55" s="13" t="n"/>
    </row>
    <row r="56">
      <c r="A56" s="0" t="n"/>
      <c r="B56" s="0" t="n"/>
      <c r="C56" s="0" t="n"/>
      <c r="D56" s="0" t="n"/>
      <c r="E56" s="0" t="n"/>
      <c r="F56" s="0" t="n"/>
      <c r="G56" s="0" t="n"/>
      <c r="H56" s="0" t="n"/>
      <c r="I56" s="13" t="n"/>
    </row>
    <row r="57">
      <c r="A57" s="0" t="n"/>
      <c r="B57" s="0" t="n"/>
      <c r="C57" s="0" t="n"/>
      <c r="D57" s="0" t="n"/>
      <c r="E57" s="0" t="n"/>
      <c r="F57" s="0" t="n"/>
      <c r="G57" s="0" t="n"/>
      <c r="H57" s="0" t="n"/>
      <c r="I57" s="13" t="n"/>
    </row>
    <row r="58">
      <c r="A58" s="0" t="n"/>
      <c r="B58" s="0" t="n"/>
      <c r="C58" s="0" t="n"/>
      <c r="D58" s="0" t="n"/>
      <c r="E58" s="0" t="n"/>
      <c r="F58" s="0" t="n"/>
      <c r="G58" s="0" t="n"/>
      <c r="H58" s="0" t="n"/>
      <c r="I58" s="13" t="n"/>
    </row>
    <row r="59">
      <c r="A59" s="0" t="n"/>
      <c r="B59" s="0" t="n"/>
      <c r="C59" s="0" t="n"/>
      <c r="D59" s="0" t="n"/>
      <c r="E59" s="0" t="n"/>
      <c r="F59" s="0" t="n"/>
      <c r="G59" s="0" t="n"/>
      <c r="H59" s="0" t="n"/>
      <c r="I59" s="13" t="n"/>
    </row>
    <row r="60">
      <c r="A60" s="0" t="n"/>
      <c r="B60" s="0" t="n"/>
      <c r="C60" s="0" t="n"/>
      <c r="D60" s="0" t="n"/>
      <c r="E60" s="0" t="n"/>
      <c r="F60" s="0" t="n"/>
      <c r="G60" s="0" t="n"/>
      <c r="H60" s="0" t="n"/>
      <c r="I60" s="13" t="n"/>
    </row>
    <row r="61">
      <c r="A61" s="0" t="n"/>
      <c r="B61" s="0" t="n"/>
      <c r="C61" s="0" t="n"/>
      <c r="D61" s="0" t="n"/>
      <c r="E61" s="0" t="n"/>
      <c r="F61" s="0" t="n"/>
      <c r="G61" s="0" t="n"/>
      <c r="H61" s="0" t="n"/>
      <c r="I61" s="13" t="n"/>
    </row>
    <row r="62">
      <c r="A62" s="0" t="n"/>
      <c r="B62" s="0" t="n"/>
      <c r="C62" s="0" t="n"/>
      <c r="D62" s="0" t="n"/>
      <c r="E62" s="0" t="n"/>
      <c r="F62" s="0" t="n"/>
      <c r="G62" s="0" t="n"/>
      <c r="H62" s="0" t="n"/>
      <c r="I62" s="13" t="n"/>
    </row>
    <row r="63">
      <c r="A63" s="0" t="n"/>
      <c r="B63" s="0" t="n"/>
      <c r="C63" s="0" t="n"/>
      <c r="D63" s="0" t="n"/>
      <c r="E63" s="0" t="n"/>
      <c r="F63" s="0" t="n"/>
      <c r="G63" s="0" t="n"/>
      <c r="H63" s="0" t="n"/>
      <c r="I63" s="13" t="n"/>
    </row>
    <row r="64">
      <c r="A64" s="0" t="n"/>
      <c r="B64" s="0" t="n"/>
      <c r="C64" s="0" t="n"/>
      <c r="D64" s="0" t="n"/>
      <c r="E64" s="0" t="n"/>
      <c r="F64" s="0" t="n"/>
      <c r="G64" s="0" t="n"/>
      <c r="H64" s="0" t="n"/>
      <c r="I64" s="13" t="n"/>
    </row>
    <row r="65">
      <c r="A65" s="0" t="n"/>
      <c r="B65" s="0" t="n"/>
      <c r="C65" s="0" t="n"/>
      <c r="D65" s="0" t="n"/>
      <c r="E65" s="0" t="n"/>
      <c r="F65" s="0" t="n"/>
      <c r="G65" s="0" t="n"/>
      <c r="H65" s="0" t="n"/>
      <c r="I65" s="13" t="n"/>
    </row>
    <row r="66">
      <c r="A66" s="0" t="n"/>
      <c r="B66" s="0" t="n"/>
      <c r="C66" s="0" t="n"/>
      <c r="D66" s="0" t="n"/>
      <c r="E66" s="0" t="n"/>
      <c r="F66" s="0" t="n"/>
      <c r="G66" s="0" t="n"/>
      <c r="H66" s="0" t="n"/>
      <c r="I66" s="13" t="n"/>
    </row>
    <row r="67">
      <c r="A67" s="0" t="n"/>
      <c r="B67" s="0" t="n"/>
      <c r="C67" s="0" t="n"/>
      <c r="D67" s="0" t="n"/>
      <c r="E67" s="0" t="n"/>
      <c r="F67" s="0" t="n"/>
      <c r="G67" s="0" t="n"/>
      <c r="H67" s="0" t="n"/>
      <c r="I67" s="13" t="n"/>
    </row>
    <row r="68">
      <c r="A68" s="0" t="n"/>
      <c r="B68" s="0" t="n"/>
      <c r="C68" s="0" t="n"/>
      <c r="D68" s="0" t="n"/>
      <c r="E68" s="0" t="n"/>
      <c r="F68" s="0" t="n"/>
      <c r="G68" s="0" t="n"/>
      <c r="H68" s="0" t="n"/>
      <c r="I68" s="13" t="n"/>
    </row>
    <row r="69">
      <c r="A69" s="0" t="n"/>
      <c r="B69" s="0" t="n"/>
      <c r="C69" s="0" t="n"/>
      <c r="D69" s="0" t="n"/>
      <c r="E69" s="0" t="n"/>
      <c r="F69" s="0" t="n"/>
      <c r="G69" s="0" t="n"/>
      <c r="H69" s="0" t="n"/>
      <c r="I69" s="13" t="n"/>
    </row>
    <row r="70">
      <c r="A70" s="0" t="n"/>
      <c r="B70" s="0" t="n"/>
      <c r="C70" s="0" t="n"/>
      <c r="D70" s="0" t="n"/>
      <c r="E70" s="0" t="n"/>
      <c r="F70" s="0" t="n"/>
      <c r="G70" s="0" t="n"/>
      <c r="H70" s="0" t="n"/>
      <c r="I70" s="13" t="n"/>
    </row>
    <row r="71">
      <c r="A71" s="0" t="n"/>
      <c r="B71" s="0" t="n"/>
      <c r="C71" s="0" t="n"/>
      <c r="D71" s="0" t="n"/>
      <c r="E71" s="0" t="n"/>
      <c r="F71" s="0" t="n"/>
      <c r="G71" s="0" t="n"/>
      <c r="H71" s="0" t="n"/>
      <c r="I71" s="13" t="n"/>
    </row>
    <row r="72">
      <c r="A72" s="0" t="n"/>
      <c r="B72" s="0" t="n"/>
      <c r="C72" s="0" t="n"/>
      <c r="D72" s="0" t="n"/>
      <c r="E72" s="0" t="n"/>
      <c r="F72" s="0" t="n"/>
      <c r="G72" s="0" t="n"/>
      <c r="H72" s="0" t="n"/>
      <c r="I72" s="13" t="n"/>
    </row>
    <row r="73">
      <c r="A73" s="0" t="n"/>
      <c r="B73" s="0" t="n"/>
      <c r="C73" s="0" t="n"/>
      <c r="D73" s="0" t="n"/>
      <c r="E73" s="0" t="n"/>
      <c r="F73" s="0" t="n"/>
      <c r="G73" s="0" t="n"/>
      <c r="H73" s="0" t="n"/>
      <c r="I73" s="13" t="n"/>
    </row>
    <row r="74">
      <c r="A74" s="0" t="n"/>
      <c r="B74" s="0" t="n"/>
      <c r="C74" s="0" t="n"/>
      <c r="D74" s="0" t="n"/>
      <c r="E74" s="0" t="n"/>
      <c r="F74" s="0" t="n"/>
      <c r="G74" s="0" t="n"/>
      <c r="H74" s="0" t="n"/>
      <c r="I74" s="13" t="n"/>
    </row>
    <row r="75">
      <c r="A75" s="0" t="n"/>
      <c r="B75" s="0" t="n"/>
      <c r="C75" s="0" t="n"/>
      <c r="D75" s="0" t="n"/>
      <c r="E75" s="0" t="n"/>
      <c r="F75" s="0" t="n"/>
      <c r="G75" s="0" t="n"/>
      <c r="H75" s="0" t="n"/>
      <c r="I75" s="13" t="n"/>
    </row>
    <row r="76">
      <c r="A76" s="0" t="n"/>
      <c r="B76" s="0" t="n"/>
      <c r="C76" s="0" t="n"/>
      <c r="D76" s="0" t="n"/>
      <c r="E76" s="0" t="n"/>
      <c r="F76" s="0" t="n"/>
      <c r="G76" s="0" t="n"/>
      <c r="H76" s="0" t="n"/>
      <c r="I76" s="13" t="n"/>
    </row>
    <row r="77">
      <c r="A77" s="0" t="n"/>
      <c r="B77" s="0" t="n"/>
      <c r="C77" s="0" t="n"/>
      <c r="D77" s="0" t="n"/>
      <c r="E77" s="0" t="n"/>
      <c r="F77" s="0" t="n"/>
      <c r="G77" s="0" t="n"/>
      <c r="H77" s="0" t="n"/>
      <c r="I77" s="13" t="n"/>
    </row>
    <row r="78">
      <c r="A78" s="0" t="n"/>
      <c r="B78" s="0" t="n"/>
      <c r="C78" s="0" t="n"/>
      <c r="D78" s="0" t="n"/>
      <c r="E78" s="0" t="n"/>
      <c r="F78" s="0" t="n"/>
      <c r="G78" s="0" t="n"/>
      <c r="H78" s="0" t="n"/>
      <c r="I78" s="13" t="n"/>
    </row>
    <row r="79">
      <c r="A79" s="0" t="n"/>
      <c r="B79" s="0" t="n"/>
      <c r="C79" s="0" t="n"/>
      <c r="D79" s="0" t="n"/>
      <c r="E79" s="0" t="n"/>
      <c r="F79" s="0" t="n"/>
      <c r="G79" s="0" t="n"/>
      <c r="H79" s="0" t="n"/>
      <c r="I79" s="13" t="n"/>
    </row>
    <row r="80">
      <c r="A80" s="0" t="n"/>
      <c r="B80" s="0" t="n"/>
      <c r="C80" s="0" t="n"/>
      <c r="D80" s="0" t="n"/>
      <c r="E80" s="0" t="n"/>
      <c r="F80" s="0" t="n"/>
      <c r="G80" s="0" t="n"/>
      <c r="H80" s="0" t="n"/>
      <c r="I80" s="13" t="n"/>
    </row>
    <row r="81">
      <c r="A81" s="0" t="n"/>
      <c r="B81" s="0" t="n"/>
      <c r="C81" s="0" t="n"/>
      <c r="D81" s="0" t="n"/>
      <c r="E81" s="0" t="n"/>
      <c r="F81" s="0" t="n"/>
      <c r="G81" s="0" t="n"/>
      <c r="H81" s="0" t="n"/>
      <c r="I81" s="13" t="n"/>
    </row>
    <row r="82">
      <c r="A82" s="0" t="n"/>
      <c r="B82" s="0" t="n"/>
      <c r="C82" s="0" t="n"/>
      <c r="D82" s="0" t="n"/>
      <c r="E82" s="0" t="n"/>
      <c r="F82" s="0" t="n"/>
      <c r="G82" s="0" t="n"/>
      <c r="H82" s="0" t="n"/>
      <c r="I82" s="13" t="n"/>
    </row>
    <row r="83">
      <c r="A83" s="0" t="n"/>
      <c r="B83" s="0" t="n"/>
      <c r="C83" s="0" t="n"/>
      <c r="D83" s="0" t="n"/>
      <c r="E83" s="0" t="n"/>
      <c r="F83" s="0" t="n"/>
      <c r="G83" s="0" t="n"/>
      <c r="H83" s="0" t="n"/>
      <c r="I83" s="13" t="n"/>
    </row>
    <row r="84">
      <c r="A84" s="0" t="n"/>
      <c r="B84" s="0" t="n"/>
      <c r="C84" s="0" t="n"/>
      <c r="D84" s="0" t="n"/>
      <c r="E84" s="0" t="n"/>
      <c r="F84" s="0" t="n"/>
      <c r="G84" s="0" t="n"/>
      <c r="H84" s="0" t="n"/>
      <c r="I84" s="13" t="n"/>
    </row>
    <row r="85">
      <c r="A85" s="0" t="n"/>
      <c r="B85" s="0" t="n"/>
      <c r="C85" s="0" t="n"/>
      <c r="D85" s="0" t="n"/>
      <c r="E85" s="0" t="n"/>
      <c r="F85" s="0" t="n"/>
      <c r="G85" s="0" t="n"/>
      <c r="H85" s="0" t="n"/>
      <c r="I85" s="13" t="n"/>
    </row>
    <row r="86">
      <c r="A86" s="0" t="n"/>
      <c r="B86" s="0" t="n"/>
      <c r="C86" s="0" t="n"/>
      <c r="D86" s="0" t="n"/>
      <c r="E86" s="0" t="n"/>
      <c r="F86" s="0" t="n"/>
      <c r="G86" s="0" t="n"/>
      <c r="H86" s="0" t="n"/>
      <c r="I86" s="13" t="n"/>
    </row>
    <row r="87">
      <c r="A87" s="0" t="n"/>
      <c r="B87" s="0" t="n"/>
      <c r="C87" s="0" t="n"/>
      <c r="D87" s="0" t="n"/>
      <c r="E87" s="0" t="n"/>
      <c r="F87" s="0" t="n"/>
      <c r="G87" s="0" t="n"/>
      <c r="H87" s="0" t="n"/>
      <c r="I87" s="13" t="n"/>
    </row>
    <row r="88">
      <c r="A88" s="0" t="n"/>
      <c r="B88" s="0" t="n"/>
      <c r="C88" s="0" t="n"/>
      <c r="D88" s="0" t="n"/>
      <c r="E88" s="0" t="n"/>
      <c r="F88" s="0" t="n"/>
      <c r="G88" s="0" t="n"/>
      <c r="H88" s="0" t="n"/>
      <c r="I88" s="13" t="n"/>
    </row>
    <row r="89">
      <c r="A89" s="0" t="n"/>
      <c r="B89" s="0" t="n"/>
      <c r="C89" s="0" t="n"/>
      <c r="D89" s="0" t="n"/>
      <c r="E89" s="0" t="n"/>
      <c r="F89" s="0" t="n"/>
      <c r="G89" s="0" t="n"/>
      <c r="H89" s="0" t="n"/>
      <c r="I89" s="13" t="n"/>
    </row>
    <row r="90">
      <c r="A90" s="0" t="n"/>
      <c r="B90" s="0" t="n"/>
      <c r="C90" s="0" t="n"/>
      <c r="D90" s="0" t="n"/>
      <c r="E90" s="0" t="n"/>
      <c r="F90" s="0" t="n"/>
      <c r="G90" s="0" t="n"/>
      <c r="H90" s="0" t="n"/>
      <c r="I90" s="13" t="n"/>
    </row>
    <row r="91">
      <c r="A91" s="0" t="n"/>
      <c r="B91" s="0" t="n"/>
      <c r="C91" s="0" t="n"/>
      <c r="D91" s="0" t="n"/>
      <c r="E91" s="0" t="n"/>
      <c r="F91" s="0" t="n"/>
      <c r="G91" s="0" t="n"/>
      <c r="H91" s="0" t="n"/>
      <c r="I91" s="13" t="n"/>
    </row>
    <row r="92">
      <c r="A92" s="0" t="n"/>
      <c r="B92" s="0" t="n"/>
      <c r="C92" s="0" t="n"/>
      <c r="D92" s="0" t="n"/>
      <c r="E92" s="0" t="n"/>
      <c r="F92" s="0" t="n"/>
      <c r="G92" s="0" t="n"/>
      <c r="H92" s="0" t="n"/>
      <c r="I92" s="13" t="n"/>
    </row>
    <row r="93">
      <c r="A93" s="0" t="n"/>
      <c r="B93" s="0" t="n"/>
      <c r="C93" s="0" t="n"/>
      <c r="D93" s="0" t="n"/>
      <c r="E93" s="0" t="n"/>
      <c r="F93" s="0" t="n"/>
      <c r="G93" s="0" t="n"/>
      <c r="H93" s="0" t="n"/>
      <c r="I93" s="13" t="n"/>
    </row>
    <row r="94">
      <c r="A94" s="0" t="n"/>
      <c r="B94" s="0" t="n"/>
      <c r="C94" s="0" t="n"/>
      <c r="D94" s="0" t="n"/>
      <c r="E94" s="0" t="n"/>
      <c r="F94" s="0" t="n"/>
      <c r="G94" s="0" t="n"/>
      <c r="H94" s="0" t="n"/>
      <c r="I94" s="13" t="n"/>
    </row>
    <row r="95">
      <c r="A95" s="0" t="n"/>
      <c r="B95" s="0" t="n"/>
      <c r="C95" s="0" t="n"/>
      <c r="D95" s="0" t="n"/>
      <c r="E95" s="0" t="n"/>
      <c r="F95" s="0" t="n"/>
      <c r="G95" s="0" t="n"/>
      <c r="H95" s="0" t="n"/>
      <c r="I95" s="13" t="n"/>
    </row>
    <row r="96">
      <c r="A96" s="0" t="n"/>
      <c r="B96" s="0" t="n"/>
      <c r="C96" s="0" t="n"/>
      <c r="D96" s="0" t="n"/>
      <c r="E96" s="0" t="n"/>
      <c r="F96" s="0" t="n"/>
      <c r="G96" s="0" t="n"/>
      <c r="H96" s="0" t="n"/>
      <c r="I96" s="13" t="n"/>
    </row>
    <row r="97">
      <c r="A97" s="0" t="n"/>
      <c r="B97" s="0" t="n"/>
      <c r="C97" s="0" t="n"/>
      <c r="D97" s="0" t="n"/>
      <c r="E97" s="0" t="n"/>
      <c r="F97" s="0" t="n"/>
      <c r="G97" s="0" t="n"/>
      <c r="H97" s="0" t="n"/>
      <c r="I97" s="13" t="n"/>
    </row>
    <row r="98">
      <c r="A98" s="0" t="n"/>
      <c r="B98" s="0" t="n"/>
      <c r="C98" s="0" t="n"/>
      <c r="D98" s="0" t="n"/>
      <c r="E98" s="0" t="n"/>
      <c r="F98" s="0" t="n"/>
      <c r="G98" s="0" t="n"/>
      <c r="H98" s="0" t="n"/>
      <c r="I98" s="13" t="n"/>
    </row>
    <row r="99">
      <c r="A99" s="0" t="n"/>
      <c r="B99" s="0" t="n"/>
      <c r="C99" s="0" t="n"/>
      <c r="D99" s="0" t="n"/>
      <c r="E99" s="0" t="n"/>
      <c r="F99" s="0" t="n"/>
      <c r="G99" s="0" t="n"/>
      <c r="H99" s="0" t="n"/>
      <c r="I99" s="13" t="n"/>
    </row>
    <row r="100">
      <c r="A100" s="0" t="n"/>
      <c r="B100" s="0" t="n"/>
      <c r="C100" s="0" t="n"/>
      <c r="D100" s="0" t="n"/>
      <c r="E100" s="0" t="n"/>
      <c r="F100" s="0" t="n"/>
      <c r="G100" s="0" t="n"/>
      <c r="H100" s="0" t="n"/>
      <c r="I100" s="13" t="n"/>
    </row>
    <row r="101">
      <c r="A101" s="0" t="n"/>
      <c r="B101" s="0" t="n"/>
      <c r="C101" s="0" t="n"/>
      <c r="D101" s="0" t="n"/>
      <c r="E101" s="0" t="n"/>
      <c r="F101" s="0" t="n"/>
      <c r="G101" s="0" t="n"/>
      <c r="H101" s="0" t="n"/>
      <c r="I101" s="13" t="n"/>
    </row>
    <row r="102">
      <c r="A102" s="0" t="n"/>
      <c r="B102" s="0" t="n"/>
      <c r="C102" s="0" t="n"/>
      <c r="D102" s="0" t="n"/>
      <c r="E102" s="0" t="n"/>
      <c r="F102" s="0" t="n"/>
      <c r="G102" s="0" t="n"/>
      <c r="H102" s="0" t="n"/>
      <c r="I102" s="13" t="n"/>
    </row>
    <row r="103">
      <c r="A103" s="0" t="n"/>
      <c r="B103" s="0" t="n"/>
      <c r="C103" s="0" t="n"/>
      <c r="D103" s="0" t="n"/>
      <c r="E103" s="0" t="n"/>
      <c r="F103" s="0" t="n"/>
      <c r="G103" s="0" t="n"/>
      <c r="H103" s="0" t="n"/>
      <c r="I103" s="13" t="n"/>
    </row>
    <row r="104">
      <c r="A104" s="0" t="n"/>
      <c r="B104" s="0" t="n"/>
      <c r="C104" s="0" t="n"/>
      <c r="D104" s="0" t="n"/>
      <c r="E104" s="0" t="n"/>
      <c r="F104" s="0" t="n"/>
      <c r="G104" s="0" t="n"/>
      <c r="H104" s="0" t="n"/>
      <c r="I104" s="13" t="n"/>
    </row>
    <row r="105">
      <c r="A105" s="0" t="n"/>
      <c r="B105" s="0" t="n"/>
      <c r="C105" s="0" t="n"/>
      <c r="D105" s="0" t="n"/>
      <c r="E105" s="0" t="n"/>
      <c r="F105" s="0" t="n"/>
      <c r="G105" s="0" t="n"/>
      <c r="H105" s="0" t="n"/>
      <c r="I105" s="13" t="n"/>
    </row>
    <row r="106">
      <c r="A106" s="0" t="n"/>
      <c r="B106" s="0" t="n"/>
      <c r="C106" s="0" t="n"/>
      <c r="D106" s="0" t="n"/>
      <c r="E106" s="0" t="n"/>
      <c r="F106" s="0" t="n"/>
      <c r="G106" s="0" t="n"/>
      <c r="H106" s="0" t="n"/>
      <c r="I106" s="13" t="n"/>
    </row>
    <row r="107">
      <c r="A107" s="0" t="n"/>
      <c r="B107" s="0" t="n"/>
      <c r="C107" s="0" t="n"/>
      <c r="D107" s="0" t="n"/>
      <c r="E107" s="0" t="n"/>
      <c r="F107" s="0" t="n"/>
      <c r="G107" s="0" t="n"/>
      <c r="H107" s="0" t="n"/>
      <c r="I107" s="13" t="n"/>
    </row>
    <row r="108">
      <c r="A108" s="0" t="n"/>
      <c r="B108" s="0" t="n"/>
      <c r="C108" s="0" t="n"/>
      <c r="D108" s="0" t="n"/>
      <c r="E108" s="0" t="n"/>
      <c r="F108" s="0" t="n"/>
      <c r="G108" s="0" t="n"/>
      <c r="H108" s="0" t="n"/>
      <c r="I108" s="13" t="n"/>
    </row>
    <row r="109">
      <c r="A109" s="0" t="n"/>
      <c r="B109" s="0" t="n"/>
      <c r="C109" s="0" t="n"/>
      <c r="D109" s="0" t="n"/>
      <c r="E109" s="0" t="n"/>
      <c r="F109" s="0" t="n"/>
      <c r="G109" s="0" t="n"/>
      <c r="H109" s="0" t="n"/>
      <c r="I109" s="13" t="n"/>
    </row>
    <row r="110">
      <c r="A110" s="0" t="n"/>
      <c r="B110" s="0" t="n"/>
      <c r="C110" s="0" t="n"/>
      <c r="D110" s="0" t="n"/>
      <c r="E110" s="0" t="n"/>
      <c r="F110" s="0" t="n"/>
      <c r="G110" s="0" t="n"/>
      <c r="H110" s="0" t="n"/>
      <c r="I110" s="13" t="n"/>
    </row>
    <row r="111">
      <c r="A111" s="0" t="n"/>
      <c r="B111" s="0" t="n"/>
      <c r="C111" s="0" t="n"/>
      <c r="D111" s="0" t="n"/>
      <c r="E111" s="0" t="n"/>
      <c r="F111" s="0" t="n"/>
      <c r="G111" s="0" t="n"/>
      <c r="H111" s="0" t="n"/>
      <c r="I111" s="13" t="n"/>
    </row>
    <row r="112">
      <c r="A112" s="0" t="n"/>
      <c r="B112" s="0" t="n"/>
      <c r="C112" s="0" t="n"/>
      <c r="D112" s="0" t="n"/>
      <c r="E112" s="0" t="n"/>
      <c r="F112" s="0" t="n"/>
      <c r="G112" s="0" t="n"/>
      <c r="H112" s="0" t="n"/>
      <c r="I112" s="13" t="n"/>
    </row>
    <row r="113">
      <c r="A113" s="0" t="n"/>
      <c r="B113" s="0" t="n"/>
      <c r="C113" s="0" t="n"/>
      <c r="D113" s="0" t="n"/>
      <c r="E113" s="0" t="n"/>
      <c r="F113" s="0" t="n"/>
      <c r="G113" s="0" t="n"/>
      <c r="H113" s="0" t="n"/>
      <c r="I113" s="13" t="n"/>
    </row>
    <row r="114">
      <c r="A114" s="0" t="n"/>
      <c r="B114" s="0" t="n"/>
      <c r="C114" s="0" t="n"/>
      <c r="D114" s="0" t="n"/>
      <c r="E114" s="0" t="n"/>
      <c r="F114" s="0" t="n"/>
      <c r="G114" s="0" t="n"/>
      <c r="H114" s="0" t="n"/>
      <c r="I114" s="13" t="n"/>
    </row>
    <row r="115">
      <c r="A115" s="0" t="n"/>
      <c r="B115" s="0" t="n"/>
      <c r="C115" s="0" t="n"/>
      <c r="D115" s="0" t="n"/>
      <c r="E115" s="0" t="n"/>
      <c r="F115" s="0" t="n"/>
      <c r="G115" s="0" t="n"/>
      <c r="H115" s="0" t="n"/>
      <c r="I115" s="13" t="n"/>
    </row>
    <row r="116">
      <c r="A116" s="0" t="n"/>
      <c r="B116" s="0" t="n"/>
      <c r="C116" s="0" t="n"/>
      <c r="D116" s="0" t="n"/>
      <c r="E116" s="0" t="n"/>
      <c r="F116" s="0" t="n"/>
      <c r="G116" s="0" t="n"/>
      <c r="H116" s="0" t="n"/>
      <c r="I116" s="13" t="n"/>
    </row>
    <row r="117">
      <c r="A117" s="0" t="n"/>
      <c r="B117" s="0" t="n"/>
      <c r="C117" s="0" t="n"/>
      <c r="D117" s="0" t="n"/>
      <c r="E117" s="0" t="n"/>
      <c r="F117" s="0" t="n"/>
      <c r="G117" s="0" t="n"/>
      <c r="H117" s="0" t="n"/>
      <c r="I117" s="13" t="n"/>
    </row>
    <row r="118">
      <c r="A118" s="0" t="n"/>
      <c r="B118" s="0" t="n"/>
      <c r="C118" s="0" t="n"/>
      <c r="D118" s="0" t="n"/>
      <c r="E118" s="0" t="n"/>
      <c r="F118" s="0" t="n"/>
      <c r="G118" s="0" t="n"/>
      <c r="H118" s="0" t="n"/>
      <c r="I118" s="13" t="n"/>
    </row>
    <row r="119">
      <c r="A119" s="0" t="n"/>
      <c r="B119" s="0" t="n"/>
      <c r="C119" s="0" t="n"/>
      <c r="D119" s="0" t="n"/>
      <c r="E119" s="0" t="n"/>
      <c r="F119" s="0" t="n"/>
      <c r="G119" s="0" t="n"/>
      <c r="H119" s="0" t="n"/>
      <c r="I119" s="13" t="n"/>
    </row>
    <row r="120">
      <c r="A120" s="0" t="n"/>
      <c r="B120" s="0" t="n"/>
      <c r="C120" s="0" t="n"/>
      <c r="D120" s="0" t="n"/>
      <c r="E120" s="0" t="n"/>
      <c r="F120" s="0" t="n"/>
      <c r="G120" s="0" t="n"/>
      <c r="H120" s="0" t="n"/>
      <c r="I120" s="13" t="n"/>
    </row>
    <row r="121">
      <c r="A121" s="0" t="n"/>
      <c r="B121" s="0" t="n"/>
      <c r="C121" s="0" t="n"/>
      <c r="D121" s="0" t="n"/>
      <c r="E121" s="0" t="n"/>
      <c r="F121" s="0" t="n"/>
      <c r="G121" s="0" t="n"/>
      <c r="H121" s="0" t="n"/>
      <c r="I121" s="13" t="n"/>
    </row>
    <row r="122">
      <c r="A122" s="0" t="n"/>
      <c r="B122" s="0" t="n"/>
      <c r="C122" s="0" t="n"/>
      <c r="D122" s="0" t="n"/>
      <c r="E122" s="0" t="n"/>
      <c r="F122" s="0" t="n"/>
      <c r="G122" s="0" t="n"/>
      <c r="H122" s="0" t="n"/>
      <c r="I122" s="13" t="n"/>
    </row>
    <row r="123">
      <c r="A123" s="0" t="n"/>
      <c r="B123" s="0" t="n"/>
      <c r="C123" s="0" t="n"/>
      <c r="D123" s="0" t="n"/>
      <c r="E123" s="0" t="n"/>
      <c r="F123" s="0" t="n"/>
      <c r="G123" s="0" t="n"/>
      <c r="H123" s="0" t="n"/>
      <c r="I123" s="13" t="n"/>
    </row>
    <row r="124">
      <c r="A124" s="0" t="n"/>
      <c r="B124" s="0" t="n"/>
      <c r="C124" s="0" t="n"/>
      <c r="D124" s="0" t="n"/>
      <c r="E124" s="0" t="n"/>
      <c r="F124" s="0" t="n"/>
      <c r="G124" s="0" t="n"/>
      <c r="H124" s="0" t="n"/>
      <c r="I124" s="13" t="n"/>
    </row>
    <row r="125">
      <c r="A125" s="0" t="n"/>
      <c r="B125" s="0" t="n"/>
      <c r="C125" s="0" t="n"/>
      <c r="D125" s="0" t="n"/>
      <c r="E125" s="0" t="n"/>
      <c r="F125" s="0" t="n"/>
      <c r="G125" s="0" t="n"/>
      <c r="H125" s="0" t="n"/>
      <c r="I125" s="13" t="n"/>
    </row>
    <row r="126">
      <c r="A126" s="0" t="n"/>
      <c r="B126" s="0" t="n"/>
      <c r="C126" s="0" t="n"/>
      <c r="D126" s="0" t="n"/>
      <c r="E126" s="0" t="n"/>
      <c r="F126" s="0" t="n"/>
      <c r="G126" s="0" t="n"/>
      <c r="H126" s="0" t="n"/>
      <c r="I126" s="13" t="n"/>
    </row>
    <row r="127">
      <c r="A127" s="0" t="n"/>
      <c r="B127" s="0" t="n"/>
      <c r="C127" s="0" t="n"/>
      <c r="D127" s="0" t="n"/>
      <c r="E127" s="0" t="n"/>
      <c r="F127" s="0" t="n"/>
      <c r="G127" s="0" t="n"/>
      <c r="H127" s="0" t="n"/>
      <c r="I127" s="13" t="n"/>
    </row>
    <row r="128">
      <c r="A128" s="0" t="n"/>
      <c r="B128" s="0" t="n"/>
      <c r="C128" s="0" t="n"/>
      <c r="D128" s="0" t="n"/>
      <c r="E128" s="0" t="n"/>
      <c r="F128" s="0" t="n"/>
      <c r="G128" s="0" t="n"/>
      <c r="H128" s="0" t="n"/>
      <c r="I128" s="13" t="n"/>
    </row>
    <row r="129">
      <c r="A129" s="0" t="n"/>
      <c r="B129" s="0" t="n"/>
      <c r="C129" s="0" t="n"/>
      <c r="D129" s="0" t="n"/>
      <c r="E129" s="0" t="n"/>
      <c r="F129" s="0" t="n"/>
      <c r="G129" s="0" t="n"/>
      <c r="H129" s="0" t="n"/>
      <c r="I129" s="13" t="n"/>
    </row>
    <row r="130">
      <c r="A130" s="0" t="n"/>
      <c r="B130" s="0" t="n"/>
      <c r="C130" s="0" t="n"/>
      <c r="D130" s="0" t="n"/>
      <c r="E130" s="0" t="n"/>
      <c r="F130" s="0" t="n"/>
      <c r="G130" s="0" t="n"/>
      <c r="H130" s="0" t="n"/>
      <c r="I130" s="13" t="n"/>
    </row>
    <row r="131">
      <c r="A131" s="0" t="n"/>
      <c r="B131" s="0" t="n"/>
      <c r="C131" s="0" t="n"/>
      <c r="D131" s="0" t="n"/>
      <c r="E131" s="0" t="n"/>
      <c r="F131" s="0" t="n"/>
      <c r="G131" s="0" t="n"/>
      <c r="H131" s="0" t="n"/>
      <c r="I131" s="13" t="n"/>
    </row>
    <row r="132">
      <c r="A132" s="0" t="n"/>
      <c r="B132" s="0" t="n"/>
      <c r="C132" s="0" t="n"/>
      <c r="D132" s="0" t="n"/>
      <c r="E132" s="0" t="n"/>
      <c r="F132" s="0" t="n"/>
      <c r="G132" s="0" t="n"/>
      <c r="H132" s="0" t="n"/>
      <c r="I132" s="13" t="n"/>
    </row>
    <row r="133">
      <c r="A133" s="0" t="n"/>
      <c r="B133" s="0" t="n"/>
      <c r="C133" s="0" t="n"/>
      <c r="D133" s="0" t="n"/>
      <c r="E133" s="0" t="n"/>
      <c r="F133" s="0" t="n"/>
      <c r="G133" s="0" t="n"/>
      <c r="H133" s="0" t="n"/>
      <c r="I133" s="13" t="n"/>
    </row>
    <row r="134">
      <c r="A134" s="0" t="n"/>
      <c r="B134" s="0" t="n"/>
      <c r="C134" s="0" t="n"/>
      <c r="D134" s="0" t="n"/>
      <c r="E134" s="0" t="n"/>
      <c r="F134" s="0" t="n"/>
      <c r="G134" s="0" t="n"/>
      <c r="H134" s="0" t="n"/>
      <c r="I134" s="13" t="n"/>
    </row>
    <row r="135">
      <c r="A135" s="0" t="n"/>
      <c r="B135" s="0" t="n"/>
      <c r="C135" s="0" t="n"/>
      <c r="D135" s="0" t="n"/>
      <c r="E135" s="0" t="n"/>
      <c r="F135" s="0" t="n"/>
      <c r="G135" s="0" t="n"/>
      <c r="H135" s="0" t="n"/>
      <c r="I135" s="13" t="n"/>
    </row>
    <row r="136">
      <c r="A136" s="0" t="n"/>
      <c r="B136" s="0" t="n"/>
      <c r="C136" s="0" t="n"/>
      <c r="D136" s="0" t="n"/>
      <c r="E136" s="0" t="n"/>
      <c r="F136" s="0" t="n"/>
      <c r="G136" s="0" t="n"/>
      <c r="H136" s="0" t="n"/>
      <c r="I136" s="13" t="n"/>
    </row>
    <row r="137">
      <c r="A137" s="0" t="n"/>
      <c r="B137" s="0" t="n"/>
      <c r="C137" s="0" t="n"/>
      <c r="D137" s="0" t="n"/>
      <c r="E137" s="0" t="n"/>
      <c r="F137" s="0" t="n"/>
      <c r="G137" s="0" t="n"/>
      <c r="H137" s="0" t="n"/>
      <c r="I137" s="13" t="n"/>
    </row>
    <row r="138">
      <c r="A138" s="0" t="n"/>
      <c r="B138" s="0" t="n"/>
      <c r="C138" s="0" t="n"/>
      <c r="D138" s="0" t="n"/>
      <c r="E138" s="0" t="n"/>
      <c r="F138" s="0" t="n"/>
      <c r="G138" s="0" t="n"/>
      <c r="H138" s="0" t="n"/>
      <c r="I138" s="13" t="n"/>
    </row>
    <row r="139">
      <c r="A139" s="0" t="n"/>
      <c r="B139" s="0" t="n"/>
      <c r="C139" s="0" t="n"/>
      <c r="D139" s="0" t="n"/>
      <c r="E139" s="0" t="n"/>
      <c r="F139" s="0" t="n"/>
      <c r="G139" s="0" t="n"/>
      <c r="H139" s="0" t="n"/>
      <c r="I139" s="13" t="n"/>
    </row>
    <row r="140">
      <c r="A140" s="0" t="n"/>
      <c r="B140" s="0" t="n"/>
      <c r="C140" s="0" t="n"/>
      <c r="D140" s="0" t="n"/>
      <c r="E140" s="0" t="n"/>
      <c r="F140" s="0" t="n"/>
      <c r="G140" s="0" t="n"/>
      <c r="H140" s="0" t="n"/>
      <c r="I140" s="13" t="n"/>
    </row>
    <row r="141">
      <c r="A141" s="0" t="n"/>
      <c r="B141" s="0" t="n"/>
      <c r="C141" s="0" t="n"/>
      <c r="D141" s="0" t="n"/>
      <c r="E141" s="0" t="n"/>
      <c r="F141" s="0" t="n"/>
      <c r="G141" s="0" t="n"/>
      <c r="H141" s="0" t="n"/>
      <c r="I141" s="13" t="n"/>
    </row>
    <row r="142">
      <c r="A142" s="0" t="n"/>
      <c r="B142" s="0" t="n"/>
      <c r="C142" s="0" t="n"/>
      <c r="D142" s="0" t="n"/>
      <c r="E142" s="0" t="n"/>
      <c r="F142" s="0" t="n"/>
      <c r="G142" s="0" t="n"/>
      <c r="H142" s="0" t="n"/>
      <c r="I142" s="13" t="n"/>
    </row>
    <row r="143">
      <c r="A143" s="0" t="n"/>
      <c r="B143" s="0" t="n"/>
      <c r="C143" s="0" t="n"/>
      <c r="D143" s="0" t="n"/>
      <c r="E143" s="0" t="n"/>
      <c r="F143" s="0" t="n"/>
      <c r="G143" s="0" t="n"/>
      <c r="H143" s="0" t="n"/>
      <c r="I143" s="13" t="n"/>
    </row>
    <row r="144">
      <c r="A144" s="0" t="n"/>
      <c r="B144" s="0" t="n"/>
      <c r="C144" s="0" t="n"/>
      <c r="D144" s="0" t="n"/>
      <c r="E144" s="0" t="n"/>
      <c r="F144" s="0" t="n"/>
      <c r="G144" s="0" t="n"/>
      <c r="H144" s="0" t="n"/>
      <c r="I144" s="13" t="n"/>
    </row>
    <row r="145">
      <c r="A145" s="0" t="n"/>
      <c r="B145" s="0" t="n"/>
      <c r="C145" s="0" t="n"/>
      <c r="D145" s="0" t="n"/>
      <c r="E145" s="0" t="n"/>
      <c r="F145" s="0" t="n"/>
      <c r="G145" s="0" t="n"/>
      <c r="H145" s="0" t="n"/>
      <c r="I145" s="13" t="n"/>
    </row>
    <row r="146">
      <c r="A146" s="0" t="n"/>
      <c r="B146" s="0" t="n"/>
      <c r="C146" s="0" t="n"/>
      <c r="D146" s="0" t="n"/>
      <c r="E146" s="0" t="n"/>
      <c r="F146" s="0" t="n"/>
      <c r="G146" s="0" t="n"/>
      <c r="H146" s="0" t="n"/>
      <c r="I146" s="13" t="n"/>
    </row>
    <row r="147">
      <c r="A147" s="0" t="n"/>
      <c r="B147" s="0" t="n"/>
      <c r="C147" s="0" t="n"/>
      <c r="D147" s="0" t="n"/>
      <c r="E147" s="0" t="n"/>
      <c r="F147" s="0" t="n"/>
      <c r="G147" s="0" t="n"/>
      <c r="H147" s="0" t="n"/>
      <c r="I147" s="13" t="n"/>
    </row>
    <row r="148">
      <c r="A148" s="0" t="n"/>
      <c r="B148" s="0" t="n"/>
      <c r="C148" s="0" t="n"/>
      <c r="D148" s="0" t="n"/>
      <c r="E148" s="0" t="n"/>
      <c r="F148" s="0" t="n"/>
      <c r="G148" s="0" t="n"/>
      <c r="H148" s="0" t="n"/>
      <c r="I148" s="13" t="n"/>
    </row>
    <row r="149">
      <c r="A149" s="0" t="n"/>
      <c r="B149" s="0" t="n"/>
      <c r="C149" s="0" t="n"/>
      <c r="D149" s="0" t="n"/>
      <c r="E149" s="0" t="n"/>
      <c r="F149" s="0" t="n"/>
      <c r="G149" s="0" t="n"/>
      <c r="H149" s="0" t="n"/>
      <c r="I149" s="13" t="n"/>
    </row>
    <row r="150">
      <c r="A150" s="0" t="n"/>
      <c r="B150" s="0" t="n"/>
      <c r="C150" s="0" t="n"/>
      <c r="D150" s="0" t="n"/>
      <c r="E150" s="0" t="n"/>
      <c r="F150" s="0" t="n"/>
      <c r="G150" s="0" t="n"/>
      <c r="H150" s="0" t="n"/>
      <c r="I150" s="13" t="n"/>
    </row>
    <row r="151">
      <c r="A151" s="0" t="n"/>
      <c r="B151" s="0" t="n"/>
      <c r="C151" s="0" t="n"/>
      <c r="D151" s="0" t="n"/>
      <c r="E151" s="0" t="n"/>
      <c r="F151" s="0" t="n"/>
      <c r="G151" s="0" t="n"/>
      <c r="H151" s="0" t="n"/>
      <c r="I151" s="13" t="n"/>
    </row>
    <row r="152">
      <c r="A152" s="0" t="n"/>
      <c r="B152" s="0" t="n"/>
      <c r="C152" s="0" t="n"/>
      <c r="D152" s="0" t="n"/>
      <c r="E152" s="0" t="n"/>
      <c r="F152" s="0" t="n"/>
      <c r="G152" s="0" t="n"/>
      <c r="H152" s="0" t="n"/>
      <c r="I152" s="13" t="n"/>
    </row>
    <row r="153">
      <c r="A153" s="0" t="n"/>
      <c r="B153" s="0" t="n"/>
      <c r="C153" s="0" t="n"/>
      <c r="D153" s="0" t="n"/>
      <c r="E153" s="0" t="n"/>
      <c r="F153" s="0" t="n"/>
      <c r="G153" s="0" t="n"/>
      <c r="H153" s="0" t="n"/>
      <c r="I153" s="13" t="n"/>
    </row>
    <row r="154">
      <c r="A154" s="0" t="n"/>
      <c r="B154" s="0" t="n"/>
      <c r="C154" s="0" t="n"/>
      <c r="D154" s="0" t="n"/>
      <c r="E154" s="0" t="n"/>
      <c r="F154" s="0" t="n"/>
      <c r="G154" s="0" t="n"/>
      <c r="H154" s="0" t="n"/>
      <c r="I154" s="13" t="n"/>
    </row>
    <row r="155">
      <c r="A155" s="0" t="n"/>
      <c r="B155" s="0" t="n"/>
      <c r="C155" s="0" t="n"/>
      <c r="D155" s="0" t="n"/>
      <c r="E155" s="0" t="n"/>
      <c r="F155" s="0" t="n"/>
      <c r="G155" s="0" t="n"/>
      <c r="H155" s="0" t="n"/>
      <c r="I155" s="13" t="n"/>
    </row>
    <row r="156">
      <c r="A156" s="0" t="n"/>
      <c r="B156" s="0" t="n"/>
      <c r="C156" s="0" t="n"/>
      <c r="D156" s="0" t="n"/>
      <c r="E156" s="0" t="n"/>
      <c r="F156" s="0" t="n"/>
      <c r="G156" s="0" t="n"/>
      <c r="H156" s="0" t="n"/>
      <c r="I156" s="13" t="n"/>
    </row>
    <row r="157">
      <c r="A157" s="0" t="n"/>
      <c r="B157" s="0" t="n"/>
      <c r="C157" s="0" t="n"/>
      <c r="D157" s="0" t="n"/>
      <c r="E157" s="0" t="n"/>
      <c r="F157" s="0" t="n"/>
      <c r="G157" s="0" t="n"/>
      <c r="H157" s="0" t="n"/>
      <c r="I157" s="13" t="n"/>
    </row>
    <row r="158">
      <c r="A158" s="0" t="n"/>
      <c r="B158" s="0" t="n"/>
      <c r="C158" s="0" t="n"/>
      <c r="D158" s="0" t="n"/>
      <c r="E158" s="0" t="n"/>
      <c r="F158" s="0" t="n"/>
      <c r="G158" s="0" t="n"/>
      <c r="H158" s="0" t="n"/>
      <c r="I158" s="13" t="n"/>
    </row>
    <row r="159">
      <c r="A159" s="0" t="n"/>
      <c r="B159" s="0" t="n"/>
      <c r="C159" s="0" t="n"/>
      <c r="D159" s="0" t="n"/>
      <c r="E159" s="0" t="n"/>
      <c r="F159" s="0" t="n"/>
      <c r="G159" s="0" t="n"/>
      <c r="H159" s="0" t="n"/>
      <c r="I159" s="13" t="n"/>
    </row>
    <row r="160">
      <c r="A160" s="0" t="n"/>
      <c r="B160" s="0" t="n"/>
      <c r="C160" s="0" t="n"/>
      <c r="D160" s="0" t="n"/>
      <c r="E160" s="0" t="n"/>
      <c r="F160" s="0" t="n"/>
      <c r="G160" s="0" t="n"/>
      <c r="H160" s="0" t="n"/>
      <c r="I160" s="13" t="n"/>
    </row>
    <row r="161">
      <c r="A161" s="0" t="n"/>
      <c r="B161" s="0" t="n"/>
      <c r="C161" s="0" t="n"/>
      <c r="D161" s="0" t="n"/>
      <c r="E161" s="0" t="n"/>
      <c r="F161" s="0" t="n"/>
      <c r="G161" s="0" t="n"/>
      <c r="H161" s="0" t="n"/>
      <c r="I161" s="13" t="n"/>
    </row>
    <row r="162">
      <c r="A162" s="0" t="n"/>
      <c r="B162" s="0" t="n"/>
      <c r="C162" s="0" t="n"/>
      <c r="D162" s="0" t="n"/>
      <c r="E162" s="0" t="n"/>
      <c r="F162" s="0" t="n"/>
      <c r="G162" s="0" t="n"/>
      <c r="H162" s="0" t="n"/>
      <c r="I162" s="13" t="n"/>
    </row>
    <row r="163">
      <c r="A163" s="0" t="n"/>
      <c r="B163" s="0" t="n"/>
      <c r="C163" s="0" t="n"/>
      <c r="D163" s="0" t="n"/>
      <c r="E163" s="0" t="n"/>
      <c r="F163" s="0" t="n"/>
      <c r="G163" s="0" t="n"/>
      <c r="H163" s="0" t="n"/>
      <c r="I163" s="13" t="n"/>
    </row>
    <row r="164">
      <c r="A164" s="0" t="n"/>
      <c r="B164" s="0" t="n"/>
      <c r="C164" s="0" t="n"/>
      <c r="D164" s="0" t="n"/>
      <c r="E164" s="0" t="n"/>
      <c r="F164" s="0" t="n"/>
      <c r="G164" s="0" t="n"/>
      <c r="H164" s="0" t="n"/>
      <c r="I164" s="13" t="n"/>
    </row>
    <row r="165">
      <c r="A165" s="0" t="n"/>
      <c r="B165" s="0" t="n"/>
      <c r="C165" s="0" t="n"/>
      <c r="D165" s="0" t="n"/>
      <c r="E165" s="0" t="n"/>
      <c r="F165" s="0" t="n"/>
      <c r="G165" s="0" t="n"/>
      <c r="H165" s="0" t="n"/>
      <c r="I165" s="13" t="n"/>
    </row>
    <row r="166">
      <c r="A166" s="0" t="n"/>
      <c r="B166" s="0" t="n"/>
      <c r="C166" s="0" t="n"/>
      <c r="D166" s="0" t="n"/>
      <c r="E166" s="0" t="n"/>
      <c r="F166" s="0" t="n"/>
      <c r="G166" s="0" t="n"/>
      <c r="H166" s="0" t="n"/>
      <c r="I166" s="13" t="n"/>
    </row>
    <row r="167">
      <c r="A167" s="0" t="n"/>
      <c r="B167" s="0" t="n"/>
      <c r="C167" s="0" t="n"/>
      <c r="D167" s="0" t="n"/>
      <c r="E167" s="0" t="n"/>
      <c r="F167" s="0" t="n"/>
      <c r="G167" s="0" t="n"/>
      <c r="H167" s="0" t="n"/>
      <c r="I167" s="13" t="n"/>
    </row>
    <row r="168">
      <c r="A168" s="0" t="n"/>
      <c r="B168" s="0" t="n"/>
      <c r="C168" s="0" t="n"/>
      <c r="D168" s="0" t="n"/>
      <c r="E168" s="0" t="n"/>
      <c r="F168" s="0" t="n"/>
      <c r="G168" s="0" t="n"/>
      <c r="H168" s="0" t="n"/>
      <c r="I168" s="13" t="n"/>
    </row>
    <row r="169">
      <c r="A169" s="0" t="n"/>
      <c r="B169" s="0" t="n"/>
      <c r="C169" s="0" t="n"/>
      <c r="D169" s="0" t="n"/>
      <c r="E169" s="0" t="n"/>
      <c r="F169" s="0" t="n"/>
      <c r="G169" s="0" t="n"/>
      <c r="H169" s="0" t="n"/>
      <c r="I169" s="13" t="n"/>
    </row>
    <row r="170">
      <c r="A170" s="0" t="n"/>
      <c r="B170" s="0" t="n"/>
      <c r="C170" s="0" t="n"/>
      <c r="D170" s="0" t="n"/>
      <c r="E170" s="0" t="n"/>
      <c r="F170" s="0" t="n"/>
      <c r="G170" s="0" t="n"/>
      <c r="H170" s="0" t="n"/>
      <c r="I170" s="13" t="n"/>
    </row>
    <row r="171">
      <c r="A171" s="0" t="n"/>
      <c r="B171" s="0" t="n"/>
      <c r="C171" s="0" t="n"/>
      <c r="D171" s="0" t="n"/>
      <c r="E171" s="0" t="n"/>
      <c r="F171" s="0" t="n"/>
      <c r="G171" s="0" t="n"/>
      <c r="H171" s="0" t="n"/>
      <c r="I171" s="13" t="n"/>
    </row>
    <row r="172">
      <c r="A172" s="0" t="n"/>
      <c r="B172" s="0" t="n"/>
      <c r="C172" s="0" t="n"/>
      <c r="D172" s="0" t="n"/>
      <c r="E172" s="0" t="n"/>
      <c r="F172" s="0" t="n"/>
      <c r="G172" s="0" t="n"/>
      <c r="H172" s="0" t="n"/>
      <c r="I172" s="13" t="n"/>
    </row>
    <row r="173">
      <c r="A173" s="0" t="n"/>
      <c r="B173" s="0" t="n"/>
      <c r="C173" s="0" t="n"/>
      <c r="D173" s="0" t="n"/>
      <c r="E173" s="0" t="n"/>
      <c r="F173" s="0" t="n"/>
      <c r="G173" s="0" t="n"/>
      <c r="H173" s="0" t="n"/>
      <c r="I173" s="13" t="n"/>
    </row>
    <row r="174">
      <c r="A174" s="0" t="n"/>
      <c r="B174" s="0" t="n"/>
      <c r="C174" s="0" t="n"/>
      <c r="D174" s="0" t="n"/>
      <c r="E174" s="0" t="n"/>
      <c r="F174" s="0" t="n"/>
      <c r="G174" s="0" t="n"/>
      <c r="H174" s="0" t="n"/>
      <c r="I174" s="13" t="n"/>
    </row>
    <row r="175">
      <c r="A175" s="0" t="n"/>
      <c r="B175" s="0" t="n"/>
      <c r="C175" s="0" t="n"/>
      <c r="D175" s="0" t="n"/>
      <c r="E175" s="0" t="n"/>
      <c r="F175" s="0" t="n"/>
      <c r="G175" s="0" t="n"/>
      <c r="H175" s="0" t="n"/>
      <c r="I175" s="13" t="n"/>
    </row>
    <row r="176">
      <c r="A176" s="0" t="n"/>
      <c r="B176" s="0" t="n"/>
      <c r="C176" s="0" t="n"/>
      <c r="D176" s="0" t="n"/>
      <c r="E176" s="0" t="n"/>
      <c r="F176" s="0" t="n"/>
      <c r="G176" s="0" t="n"/>
      <c r="H176" s="0" t="n"/>
      <c r="I176" s="13" t="n"/>
    </row>
    <row r="177">
      <c r="A177" s="0" t="n"/>
      <c r="B177" s="0" t="n"/>
      <c r="C177" s="0" t="n"/>
      <c r="D177" s="0" t="n"/>
      <c r="E177" s="0" t="n"/>
      <c r="F177" s="0" t="n"/>
      <c r="G177" s="0" t="n"/>
      <c r="H177" s="0" t="n"/>
      <c r="I177" s="13" t="n"/>
    </row>
    <row r="178">
      <c r="A178" s="0" t="n"/>
      <c r="B178" s="0" t="n"/>
      <c r="C178" s="0" t="n"/>
      <c r="D178" s="0" t="n"/>
      <c r="E178" s="0" t="n"/>
      <c r="F178" s="0" t="n"/>
      <c r="G178" s="0" t="n"/>
      <c r="H178" s="0" t="n"/>
      <c r="I178" s="13" t="n"/>
    </row>
    <row r="179">
      <c r="A179" s="0" t="n"/>
      <c r="B179" s="0" t="n"/>
      <c r="C179" s="0" t="n"/>
      <c r="D179" s="0" t="n"/>
      <c r="E179" s="0" t="n"/>
      <c r="F179" s="0" t="n"/>
      <c r="G179" s="0" t="n"/>
      <c r="H179" s="0" t="n"/>
      <c r="I179" s="13" t="n"/>
    </row>
    <row r="180">
      <c r="A180" s="0" t="n"/>
      <c r="B180" s="0" t="n"/>
      <c r="C180" s="0" t="n"/>
      <c r="D180" s="0" t="n"/>
      <c r="E180" s="0" t="n"/>
      <c r="F180" s="0" t="n"/>
      <c r="G180" s="0" t="n"/>
      <c r="H180" s="0" t="n"/>
      <c r="I180" s="13" t="n"/>
    </row>
    <row r="181">
      <c r="A181" s="0" t="n"/>
      <c r="B181" s="0" t="n"/>
      <c r="C181" s="0" t="n"/>
      <c r="D181" s="0" t="n"/>
      <c r="E181" s="0" t="n"/>
      <c r="F181" s="0" t="n"/>
      <c r="G181" s="0" t="n"/>
      <c r="H181" s="0" t="n"/>
      <c r="I181" s="13" t="n"/>
    </row>
    <row r="182">
      <c r="A182" s="0" t="n"/>
      <c r="B182" s="0" t="n"/>
      <c r="C182" s="0" t="n"/>
      <c r="D182" s="0" t="n"/>
      <c r="E182" s="0" t="n"/>
      <c r="F182" s="0" t="n"/>
      <c r="G182" s="0" t="n"/>
      <c r="H182" s="0" t="n"/>
      <c r="I182" s="13" t="n"/>
    </row>
    <row r="183">
      <c r="A183" s="0" t="n"/>
      <c r="B183" s="0" t="n"/>
      <c r="C183" s="0" t="n"/>
      <c r="D183" s="0" t="n"/>
      <c r="E183" s="0" t="n"/>
      <c r="F183" s="0" t="n"/>
      <c r="G183" s="0" t="n"/>
      <c r="H183" s="0" t="n"/>
      <c r="I183" s="13" t="n"/>
    </row>
    <row r="184">
      <c r="A184" s="0" t="n"/>
      <c r="B184" s="0" t="n"/>
      <c r="C184" s="0" t="n"/>
      <c r="D184" s="0" t="n"/>
      <c r="E184" s="0" t="n"/>
      <c r="F184" s="0" t="n"/>
      <c r="G184" s="0" t="n"/>
      <c r="H184" s="0" t="n"/>
      <c r="I184" s="13" t="n"/>
    </row>
    <row r="185">
      <c r="A185" s="0" t="n"/>
      <c r="B185" s="0" t="n"/>
      <c r="C185" s="0" t="n"/>
      <c r="D185" s="0" t="n"/>
      <c r="E185" s="0" t="n"/>
      <c r="F185" s="0" t="n"/>
      <c r="G185" s="0" t="n"/>
      <c r="H185" s="0" t="n"/>
      <c r="I185" s="13" t="n"/>
    </row>
    <row r="186">
      <c r="A186" s="0" t="n"/>
      <c r="B186" s="0" t="n"/>
      <c r="C186" s="0" t="n"/>
      <c r="D186" s="0" t="n"/>
      <c r="E186" s="0" t="n"/>
      <c r="F186" s="0" t="n"/>
      <c r="G186" s="0" t="n"/>
      <c r="H186" s="0" t="n"/>
      <c r="I186" s="13" t="n"/>
    </row>
    <row r="187">
      <c r="A187" s="0" t="n"/>
      <c r="B187" s="0" t="n"/>
      <c r="C187" s="0" t="n"/>
      <c r="D187" s="0" t="n"/>
      <c r="E187" s="0" t="n"/>
      <c r="F187" s="0" t="n"/>
      <c r="G187" s="0" t="n"/>
      <c r="H187" s="0" t="n"/>
      <c r="I187" s="13" t="n"/>
    </row>
    <row r="188">
      <c r="A188" s="0" t="n"/>
      <c r="B188" s="0" t="n"/>
      <c r="C188" s="0" t="n"/>
      <c r="D188" s="0" t="n"/>
      <c r="E188" s="0" t="n"/>
      <c r="F188" s="0" t="n"/>
      <c r="G188" s="0" t="n"/>
      <c r="H188" s="0" t="n"/>
      <c r="I188" s="13" t="n"/>
    </row>
    <row r="189">
      <c r="A189" s="0" t="n"/>
      <c r="B189" s="0" t="n"/>
      <c r="C189" s="0" t="n"/>
      <c r="D189" s="0" t="n"/>
      <c r="E189" s="0" t="n"/>
      <c r="F189" s="0" t="n"/>
      <c r="G189" s="0" t="n"/>
      <c r="H189" s="0" t="n"/>
      <c r="I189" s="13" t="n"/>
    </row>
    <row r="190">
      <c r="A190" s="0" t="n"/>
      <c r="B190" s="0" t="n"/>
      <c r="C190" s="0" t="n"/>
      <c r="D190" s="0" t="n"/>
      <c r="E190" s="0" t="n"/>
      <c r="F190" s="0" t="n"/>
      <c r="G190" s="0" t="n"/>
      <c r="H190" s="0" t="n"/>
      <c r="I190" s="13" t="n"/>
    </row>
    <row r="191">
      <c r="A191" s="0" t="n"/>
      <c r="B191" s="0" t="n"/>
      <c r="C191" s="0" t="n"/>
      <c r="D191" s="0" t="n"/>
      <c r="E191" s="0" t="n"/>
      <c r="F191" s="0" t="n"/>
      <c r="G191" s="0" t="n"/>
      <c r="H191" s="0" t="n"/>
      <c r="I191" s="13" t="n"/>
    </row>
    <row r="192">
      <c r="A192" s="0" t="n"/>
      <c r="B192" s="0" t="n"/>
      <c r="C192" s="0" t="n"/>
      <c r="D192" s="0" t="n"/>
      <c r="E192" s="0" t="n"/>
      <c r="F192" s="0" t="n"/>
      <c r="G192" s="0" t="n"/>
      <c r="H192" s="0" t="n"/>
      <c r="I192" s="13" t="n"/>
    </row>
    <row r="193">
      <c r="A193" s="0" t="n"/>
      <c r="B193" s="0" t="n"/>
      <c r="C193" s="0" t="n"/>
      <c r="D193" s="0" t="n"/>
      <c r="E193" s="0" t="n"/>
      <c r="F193" s="0" t="n"/>
      <c r="G193" s="0" t="n"/>
      <c r="H193" s="0" t="n"/>
      <c r="I193" s="13" t="n"/>
    </row>
    <row r="194">
      <c r="A194" s="0" t="n"/>
      <c r="B194" s="0" t="n"/>
      <c r="C194" s="0" t="n"/>
      <c r="D194" s="0" t="n"/>
      <c r="E194" s="0" t="n"/>
      <c r="F194" s="0" t="n"/>
      <c r="G194" s="0" t="n"/>
      <c r="H194" s="0" t="n"/>
      <c r="I194" s="13" t="n"/>
    </row>
    <row r="195">
      <c r="A195" s="0" t="n"/>
      <c r="B195" s="0" t="n"/>
      <c r="C195" s="0" t="n"/>
      <c r="D195" s="0" t="n"/>
      <c r="E195" s="0" t="n"/>
      <c r="F195" s="0" t="n"/>
      <c r="G195" s="0" t="n"/>
      <c r="H195" s="0" t="n"/>
      <c r="I195" s="13" t="n"/>
    </row>
    <row r="196">
      <c r="A196" s="0" t="n"/>
      <c r="B196" s="0" t="n"/>
      <c r="C196" s="0" t="n"/>
      <c r="D196" s="0" t="n"/>
      <c r="E196" s="0" t="n"/>
      <c r="F196" s="0" t="n"/>
      <c r="G196" s="0" t="n"/>
      <c r="H196" s="0" t="n"/>
      <c r="I196" s="13" t="n"/>
    </row>
    <row r="197">
      <c r="A197" s="0" t="n"/>
      <c r="B197" s="0" t="n"/>
      <c r="C197" s="0" t="n"/>
      <c r="D197" s="0" t="n"/>
      <c r="E197" s="0" t="n"/>
      <c r="F197" s="0" t="n"/>
      <c r="G197" s="0" t="n"/>
      <c r="H197" s="0" t="n"/>
      <c r="I197" s="13" t="n"/>
    </row>
    <row r="198">
      <c r="A198" s="0" t="n"/>
      <c r="B198" s="0" t="n"/>
      <c r="C198" s="0" t="n"/>
      <c r="D198" s="0" t="n"/>
      <c r="E198" s="0" t="n"/>
      <c r="F198" s="0" t="n"/>
      <c r="G198" s="0" t="n"/>
      <c r="H198" s="0" t="n"/>
      <c r="I198" s="13" t="n"/>
    </row>
    <row r="199">
      <c r="A199" s="0" t="n"/>
      <c r="B199" s="0" t="n"/>
      <c r="C199" s="0" t="n"/>
      <c r="D199" s="0" t="n"/>
      <c r="E199" s="0" t="n"/>
      <c r="F199" s="0" t="n"/>
      <c r="G199" s="0" t="n"/>
      <c r="H199" s="0" t="n"/>
      <c r="I199" s="13" t="n"/>
    </row>
    <row r="200">
      <c r="A200" s="0" t="n"/>
      <c r="B200" s="0" t="n"/>
      <c r="C200" s="0" t="n"/>
      <c r="D200" s="0" t="n"/>
      <c r="E200" s="0" t="n"/>
      <c r="F200" s="0" t="n"/>
      <c r="G200" s="0" t="n"/>
      <c r="H200" s="0" t="n"/>
      <c r="I200" s="13" t="n"/>
    </row>
    <row r="201">
      <c r="A201" s="0" t="n"/>
      <c r="B201" s="0" t="n"/>
      <c r="C201" s="0" t="n"/>
      <c r="D201" s="0" t="n"/>
      <c r="E201" s="0" t="n"/>
      <c r="F201" s="0" t="n"/>
      <c r="G201" s="0" t="n"/>
      <c r="H201" s="0" t="n"/>
      <c r="I201" s="13" t="n"/>
    </row>
    <row r="202">
      <c r="A202" s="0" t="n"/>
      <c r="B202" s="0" t="n"/>
      <c r="C202" s="0" t="n"/>
      <c r="D202" s="0" t="n"/>
      <c r="E202" s="0" t="n"/>
      <c r="F202" s="0" t="n"/>
      <c r="G202" s="0" t="n"/>
      <c r="H202" s="0" t="n"/>
      <c r="I202" s="13" t="n"/>
    </row>
    <row r="203">
      <c r="A203" s="0" t="n"/>
      <c r="B203" s="0" t="n"/>
      <c r="C203" s="0" t="n"/>
      <c r="D203" s="0" t="n"/>
      <c r="E203" s="0" t="n"/>
      <c r="F203" s="0" t="n"/>
      <c r="G203" s="0" t="n"/>
      <c r="H203" s="0" t="n"/>
      <c r="I203" s="13" t="n"/>
    </row>
    <row r="204">
      <c r="A204" s="0" t="n"/>
      <c r="B204" s="0" t="n"/>
      <c r="C204" s="0" t="n"/>
      <c r="D204" s="0" t="n"/>
      <c r="E204" s="0" t="n"/>
      <c r="F204" s="0" t="n"/>
      <c r="G204" s="0" t="n"/>
      <c r="H204" s="0" t="n"/>
      <c r="I204" s="13" t="n"/>
    </row>
    <row r="205">
      <c r="A205" s="0" t="n"/>
      <c r="B205" s="0" t="n"/>
      <c r="C205" s="0" t="n"/>
      <c r="D205" s="0" t="n"/>
      <c r="E205" s="0" t="n"/>
      <c r="F205" s="0" t="n"/>
      <c r="G205" s="0" t="n"/>
      <c r="H205" s="0" t="n"/>
      <c r="I205" s="13" t="n"/>
    </row>
    <row r="206">
      <c r="A206" s="0" t="n"/>
      <c r="B206" s="0" t="n"/>
      <c r="C206" s="0" t="n"/>
      <c r="D206" s="0" t="n"/>
      <c r="E206" s="0" t="n"/>
      <c r="F206" s="0" t="n"/>
      <c r="G206" s="0" t="n"/>
      <c r="H206" s="0" t="n"/>
      <c r="I206" s="13" t="n"/>
    </row>
    <row r="207">
      <c r="A207" s="0" t="n"/>
      <c r="B207" s="0" t="n"/>
      <c r="C207" s="0" t="n"/>
      <c r="D207" s="0" t="n"/>
      <c r="E207" s="0" t="n"/>
      <c r="F207" s="0" t="n"/>
      <c r="G207" s="0" t="n"/>
      <c r="H207" s="0" t="n"/>
      <c r="I207" s="13" t="n"/>
    </row>
    <row r="208">
      <c r="A208" s="0" t="n"/>
      <c r="B208" s="0" t="n"/>
      <c r="C208" s="0" t="n"/>
      <c r="D208" s="0" t="n"/>
      <c r="E208" s="0" t="n"/>
      <c r="F208" s="0" t="n"/>
      <c r="G208" s="0" t="n"/>
      <c r="H208" s="0" t="n"/>
      <c r="I208" s="13" t="n"/>
    </row>
    <row r="209">
      <c r="A209" s="0" t="n"/>
      <c r="B209" s="0" t="n"/>
      <c r="C209" s="0" t="n"/>
      <c r="D209" s="0" t="n"/>
      <c r="E209" s="0" t="n"/>
      <c r="F209" s="0" t="n"/>
      <c r="G209" s="0" t="n"/>
      <c r="H209" s="0" t="n"/>
      <c r="I209" s="13" t="n"/>
    </row>
    <row r="210">
      <c r="A210" s="0" t="n"/>
      <c r="B210" s="0" t="n"/>
      <c r="C210" s="0" t="n"/>
      <c r="D210" s="0" t="n"/>
      <c r="E210" s="0" t="n"/>
      <c r="F210" s="0" t="n"/>
      <c r="G210" s="0" t="n"/>
      <c r="H210" s="0" t="n"/>
      <c r="I210" s="13" t="n"/>
    </row>
    <row r="211">
      <c r="A211" s="0" t="n"/>
      <c r="B211" s="0" t="n"/>
      <c r="C211" s="0" t="n"/>
      <c r="D211" s="0" t="n"/>
      <c r="E211" s="0" t="n"/>
      <c r="F211" s="0" t="n"/>
      <c r="G211" s="0" t="n"/>
      <c r="H211" s="0" t="n"/>
      <c r="I211" s="13" t="n"/>
    </row>
    <row r="212">
      <c r="A212" s="0" t="n"/>
      <c r="B212" s="0" t="n"/>
      <c r="C212" s="0" t="n"/>
      <c r="D212" s="0" t="n"/>
      <c r="E212" s="0" t="n"/>
      <c r="F212" s="0" t="n"/>
      <c r="G212" s="0" t="n"/>
      <c r="H212" s="0" t="n"/>
      <c r="I212" s="13" t="n"/>
    </row>
    <row r="213">
      <c r="A213" s="0" t="n"/>
      <c r="B213" s="0" t="n"/>
      <c r="C213" s="0" t="n"/>
      <c r="D213" s="0" t="n"/>
      <c r="E213" s="0" t="n"/>
      <c r="F213" s="0" t="n"/>
      <c r="G213" s="0" t="n"/>
      <c r="H213" s="0" t="n"/>
      <c r="I213" s="13" t="n"/>
    </row>
    <row r="214">
      <c r="A214" s="0" t="n"/>
      <c r="B214" s="0" t="n"/>
      <c r="C214" s="0" t="n"/>
      <c r="D214" s="0" t="n"/>
      <c r="E214" s="0" t="n"/>
      <c r="F214" s="0" t="n"/>
      <c r="G214" s="0" t="n"/>
      <c r="H214" s="0" t="n"/>
      <c r="I214" s="13" t="n"/>
    </row>
    <row r="215">
      <c r="A215" s="0" t="n"/>
      <c r="B215" s="0" t="n"/>
      <c r="C215" s="0" t="n"/>
      <c r="D215" s="0" t="n"/>
      <c r="E215" s="0" t="n"/>
      <c r="F215" s="0" t="n"/>
      <c r="G215" s="0" t="n"/>
      <c r="H215" s="0" t="n"/>
      <c r="I215" s="13" t="n"/>
    </row>
    <row r="216">
      <c r="A216" s="0" t="n"/>
      <c r="B216" s="0" t="n"/>
      <c r="C216" s="0" t="n"/>
      <c r="D216" s="0" t="n"/>
      <c r="E216" s="0" t="n"/>
      <c r="F216" s="0" t="n"/>
      <c r="G216" s="0" t="n"/>
      <c r="H216" s="0" t="n"/>
      <c r="I216" s="13" t="n"/>
    </row>
    <row r="217">
      <c r="A217" s="0" t="n"/>
      <c r="B217" s="0" t="n"/>
      <c r="C217" s="0" t="n"/>
      <c r="D217" s="0" t="n"/>
      <c r="E217" s="0" t="n"/>
      <c r="F217" s="0" t="n"/>
      <c r="G217" s="0" t="n"/>
      <c r="H217" s="0" t="n"/>
      <c r="I217" s="13" t="n"/>
    </row>
    <row r="218">
      <c r="A218" s="0" t="n"/>
      <c r="B218" s="0" t="n"/>
      <c r="C218" s="0" t="n"/>
      <c r="D218" s="0" t="n"/>
      <c r="E218" s="0" t="n"/>
      <c r="F218" s="0" t="n"/>
      <c r="G218" s="0" t="n"/>
      <c r="H218" s="0" t="n"/>
      <c r="I218" s="13" t="n"/>
    </row>
    <row r="219">
      <c r="A219" s="0" t="n"/>
      <c r="B219" s="0" t="n"/>
      <c r="C219" s="0" t="n"/>
      <c r="D219" s="0" t="n"/>
      <c r="E219" s="0" t="n"/>
      <c r="F219" s="0" t="n"/>
      <c r="G219" s="0" t="n"/>
      <c r="H219" s="0" t="n"/>
      <c r="I219" s="13" t="n"/>
    </row>
    <row r="220">
      <c r="A220" s="0" t="n"/>
      <c r="B220" s="0" t="n"/>
      <c r="C220" s="0" t="n"/>
      <c r="D220" s="0" t="n"/>
      <c r="E220" s="0" t="n"/>
      <c r="F220" s="0" t="n"/>
      <c r="G220" s="0" t="n"/>
      <c r="H220" s="0" t="n"/>
      <c r="I220" s="13" t="n"/>
    </row>
    <row r="221">
      <c r="A221" s="0" t="n"/>
      <c r="B221" s="0" t="n"/>
      <c r="C221" s="0" t="n"/>
      <c r="D221" s="0" t="n"/>
      <c r="E221" s="0" t="n"/>
      <c r="F221" s="0" t="n"/>
      <c r="G221" s="0" t="n"/>
      <c r="H221" s="0" t="n"/>
      <c r="I221" s="13" t="n"/>
    </row>
    <row r="222">
      <c r="A222" s="0" t="n"/>
      <c r="B222" s="0" t="n"/>
      <c r="C222" s="0" t="n"/>
      <c r="D222" s="0" t="n"/>
      <c r="E222" s="0" t="n"/>
      <c r="F222" s="0" t="n"/>
      <c r="G222" s="0" t="n"/>
      <c r="H222" s="0" t="n"/>
      <c r="I222" s="13" t="n"/>
    </row>
    <row r="223">
      <c r="A223" s="0" t="n"/>
      <c r="B223" s="0" t="n"/>
      <c r="C223" s="0" t="n"/>
      <c r="D223" s="0" t="n"/>
      <c r="E223" s="0" t="n"/>
      <c r="F223" s="0" t="n"/>
      <c r="G223" s="0" t="n"/>
      <c r="H223" s="0" t="n"/>
      <c r="I223" s="13" t="n"/>
    </row>
    <row r="224">
      <c r="A224" s="0" t="n"/>
      <c r="B224" s="0" t="n"/>
      <c r="C224" s="0" t="n"/>
      <c r="D224" s="0" t="n"/>
      <c r="E224" s="0" t="n"/>
      <c r="F224" s="0" t="n"/>
      <c r="G224" s="0" t="n"/>
      <c r="H224" s="0" t="n"/>
      <c r="I224" s="13" t="n"/>
    </row>
    <row r="225">
      <c r="A225" s="0" t="n"/>
      <c r="B225" s="0" t="n"/>
      <c r="C225" s="0" t="n"/>
      <c r="D225" s="0" t="n"/>
      <c r="E225" s="0" t="n"/>
      <c r="F225" s="0" t="n"/>
      <c r="G225" s="0" t="n"/>
      <c r="H225" s="0" t="n"/>
      <c r="I225" s="13" t="n"/>
    </row>
    <row r="226">
      <c r="A226" s="0" t="n"/>
      <c r="B226" s="0" t="n"/>
      <c r="C226" s="0" t="n"/>
      <c r="D226" s="0" t="n"/>
      <c r="E226" s="0" t="n"/>
      <c r="F226" s="0" t="n"/>
      <c r="G226" s="0" t="n"/>
      <c r="H226" s="0" t="n"/>
      <c r="I226" s="13" t="n"/>
    </row>
    <row r="227">
      <c r="A227" s="0" t="n"/>
      <c r="B227" s="0" t="n"/>
      <c r="C227" s="0" t="n"/>
      <c r="D227" s="0" t="n"/>
      <c r="E227" s="0" t="n"/>
      <c r="F227" s="0" t="n"/>
      <c r="G227" s="0" t="n"/>
      <c r="H227" s="0" t="n"/>
      <c r="I227" s="13" t="n"/>
    </row>
    <row r="228">
      <c r="A228" s="0" t="n"/>
      <c r="B228" s="0" t="n"/>
      <c r="C228" s="0" t="n"/>
      <c r="D228" s="0" t="n"/>
      <c r="E228" s="0" t="n"/>
      <c r="F228" s="0" t="n"/>
      <c r="G228" s="0" t="n"/>
      <c r="H228" s="0" t="n"/>
      <c r="I228" s="13" t="n"/>
    </row>
    <row r="229">
      <c r="A229" s="0" t="n"/>
      <c r="B229" s="0" t="n"/>
      <c r="C229" s="0" t="n"/>
      <c r="D229" s="0" t="n"/>
      <c r="E229" s="0" t="n"/>
      <c r="F229" s="0" t="n"/>
      <c r="G229" s="0" t="n"/>
      <c r="H229" s="0" t="n"/>
      <c r="I229" s="13" t="n"/>
    </row>
    <row r="230">
      <c r="A230" s="0" t="n"/>
      <c r="B230" s="0" t="n"/>
      <c r="C230" s="0" t="n"/>
      <c r="D230" s="0" t="n"/>
      <c r="E230" s="0" t="n"/>
      <c r="F230" s="0" t="n"/>
      <c r="G230" s="0" t="n"/>
      <c r="H230" s="0" t="n"/>
      <c r="I230" s="13" t="n"/>
    </row>
    <row r="231">
      <c r="A231" s="0" t="n"/>
      <c r="B231" s="0" t="n"/>
      <c r="C231" s="0" t="n"/>
      <c r="D231" s="0" t="n"/>
      <c r="E231" s="0" t="n"/>
      <c r="F231" s="0" t="n"/>
      <c r="G231" s="0" t="n"/>
      <c r="H231" s="0" t="n"/>
      <c r="I231" s="13" t="n"/>
    </row>
    <row r="232">
      <c r="A232" s="0" t="n"/>
      <c r="B232" s="0" t="n"/>
      <c r="C232" s="0" t="n"/>
      <c r="D232" s="0" t="n"/>
      <c r="E232" s="0" t="n"/>
      <c r="F232" s="0" t="n"/>
      <c r="G232" s="0" t="n"/>
      <c r="H232" s="0" t="n"/>
      <c r="I232" s="13" t="n"/>
    </row>
    <row r="233">
      <c r="A233" s="0" t="n"/>
      <c r="B233" s="0" t="n"/>
      <c r="C233" s="0" t="n"/>
      <c r="D233" s="0" t="n"/>
      <c r="E233" s="0" t="n"/>
      <c r="F233" s="0" t="n"/>
      <c r="G233" s="0" t="n"/>
      <c r="H233" s="0" t="n"/>
      <c r="I233" s="13" t="n"/>
    </row>
    <row r="234">
      <c r="A234" s="0" t="n"/>
      <c r="B234" s="0" t="n"/>
      <c r="C234" s="0" t="n"/>
      <c r="D234" s="0" t="n"/>
      <c r="E234" s="0" t="n"/>
      <c r="F234" s="0" t="n"/>
      <c r="G234" s="0" t="n"/>
      <c r="H234" s="0" t="n"/>
      <c r="I234" s="13" t="n"/>
    </row>
    <row r="235">
      <c r="A235" s="0" t="n"/>
      <c r="B235" s="0" t="n"/>
      <c r="C235" s="0" t="n"/>
      <c r="D235" s="0" t="n"/>
      <c r="E235" s="0" t="n"/>
      <c r="F235" s="0" t="n"/>
      <c r="G235" s="0" t="n"/>
      <c r="H235" s="0" t="n"/>
      <c r="I235" s="13" t="n"/>
    </row>
    <row r="236">
      <c r="A236" s="0" t="n"/>
      <c r="B236" s="0" t="n"/>
      <c r="C236" s="0" t="n"/>
      <c r="D236" s="0" t="n"/>
      <c r="E236" s="0" t="n"/>
      <c r="F236" s="0" t="n"/>
      <c r="G236" s="0" t="n"/>
      <c r="H236" s="0" t="n"/>
      <c r="I236" s="13" t="n"/>
    </row>
    <row r="237">
      <c r="A237" s="0" t="n"/>
      <c r="B237" s="0" t="n"/>
      <c r="C237" s="0" t="n"/>
      <c r="D237" s="0" t="n"/>
      <c r="E237" s="0" t="n"/>
      <c r="F237" s="0" t="n"/>
      <c r="G237" s="0" t="n"/>
      <c r="H237" s="0" t="n"/>
      <c r="I237" s="13" t="n"/>
    </row>
    <row r="238">
      <c r="A238" s="0" t="n"/>
      <c r="B238" s="0" t="n"/>
      <c r="C238" s="0" t="n"/>
      <c r="D238" s="0" t="n"/>
      <c r="E238" s="0" t="n"/>
      <c r="F238" s="0" t="n"/>
      <c r="G238" s="0" t="n"/>
      <c r="H238" s="0" t="n"/>
      <c r="I238" s="13" t="n"/>
    </row>
    <row r="239">
      <c r="A239" s="0" t="n"/>
      <c r="B239" s="0" t="n"/>
      <c r="C239" s="0" t="n"/>
      <c r="D239" s="0" t="n"/>
      <c r="E239" s="0" t="n"/>
      <c r="F239" s="0" t="n"/>
      <c r="G239" s="0" t="n"/>
      <c r="H239" s="0" t="n"/>
      <c r="I239" s="13" t="n"/>
    </row>
    <row r="240">
      <c r="A240" s="0" t="n"/>
      <c r="B240" s="0" t="n"/>
      <c r="C240" s="0" t="n"/>
      <c r="D240" s="0" t="n"/>
      <c r="E240" s="0" t="n"/>
      <c r="F240" s="0" t="n"/>
      <c r="G240" s="0" t="n"/>
      <c r="H240" s="0" t="n"/>
      <c r="I240" s="13" t="n"/>
    </row>
    <row r="241">
      <c r="A241" s="0" t="n"/>
      <c r="B241" s="0" t="n"/>
      <c r="C241" s="0" t="n"/>
      <c r="D241" s="0" t="n"/>
      <c r="E241" s="0" t="n"/>
      <c r="F241" s="0" t="n"/>
      <c r="G241" s="0" t="n"/>
      <c r="H241" s="0" t="n"/>
      <c r="I241" s="13" t="n"/>
    </row>
    <row r="242">
      <c r="A242" s="0" t="n"/>
      <c r="B242" s="0" t="n"/>
      <c r="C242" s="0" t="n"/>
      <c r="D242" s="0" t="n"/>
      <c r="E242" s="0" t="n"/>
      <c r="F242" s="0" t="n"/>
      <c r="G242" s="0" t="n"/>
      <c r="H242" s="0" t="n"/>
      <c r="I242" s="13" t="n"/>
    </row>
    <row r="243">
      <c r="A243" s="0" t="n"/>
      <c r="B243" s="0" t="n"/>
      <c r="C243" s="0" t="n"/>
      <c r="D243" s="0" t="n"/>
      <c r="E243" s="0" t="n"/>
      <c r="F243" s="0" t="n"/>
      <c r="G243" s="0" t="n"/>
      <c r="H243" s="0" t="n"/>
      <c r="I243" s="13" t="n"/>
    </row>
    <row r="244">
      <c r="A244" s="0" t="n"/>
      <c r="B244" s="0" t="n"/>
      <c r="C244" s="0" t="n"/>
      <c r="D244" s="0" t="n"/>
      <c r="E244" s="0" t="n"/>
      <c r="F244" s="0" t="n"/>
      <c r="G244" s="0" t="n"/>
      <c r="H244" s="0" t="n"/>
      <c r="I244" s="13" t="n"/>
    </row>
    <row r="245">
      <c r="A245" s="0" t="n"/>
      <c r="B245" s="0" t="n"/>
      <c r="C245" s="0" t="n"/>
      <c r="D245" s="0" t="n"/>
      <c r="E245" s="0" t="n"/>
      <c r="F245" s="0" t="n"/>
      <c r="G245" s="0" t="n"/>
      <c r="H245" s="0" t="n"/>
      <c r="I245" s="13" t="n"/>
    </row>
    <row r="246">
      <c r="A246" s="0" t="n"/>
      <c r="B246" s="0" t="n"/>
      <c r="C246" s="0" t="n"/>
      <c r="D246" s="0" t="n"/>
      <c r="E246" s="0" t="n"/>
      <c r="F246" s="0" t="n"/>
      <c r="G246" s="0" t="n"/>
      <c r="H246" s="0" t="n"/>
      <c r="I246" s="13" t="n"/>
    </row>
    <row r="247">
      <c r="A247" s="0" t="n"/>
      <c r="B247" s="0" t="n"/>
      <c r="C247" s="0" t="n"/>
      <c r="D247" s="0" t="n"/>
      <c r="E247" s="0" t="n"/>
      <c r="F247" s="0" t="n"/>
      <c r="G247" s="0" t="n"/>
      <c r="H247" s="0" t="n"/>
      <c r="I247" s="13" t="n"/>
    </row>
    <row r="248">
      <c r="A248" s="0" t="n"/>
      <c r="B248" s="0" t="n"/>
      <c r="C248" s="0" t="n"/>
      <c r="D248" s="0" t="n"/>
      <c r="E248" s="0" t="n"/>
      <c r="F248" s="0" t="n"/>
      <c r="G248" s="0" t="n"/>
      <c r="H248" s="0" t="n"/>
      <c r="I248" s="13" t="n"/>
    </row>
    <row r="249">
      <c r="A249" s="0" t="n"/>
      <c r="B249" s="0" t="n"/>
      <c r="C249" s="0" t="n"/>
      <c r="D249" s="0" t="n"/>
      <c r="E249" s="0" t="n"/>
      <c r="F249" s="0" t="n"/>
      <c r="G249" s="0" t="n"/>
      <c r="H249" s="0" t="n"/>
      <c r="I249" s="13" t="n"/>
    </row>
    <row r="250">
      <c r="A250" s="0" t="n"/>
      <c r="B250" s="0" t="n"/>
      <c r="C250" s="0" t="n"/>
      <c r="D250" s="0" t="n"/>
      <c r="E250" s="0" t="n"/>
      <c r="F250" s="0" t="n"/>
      <c r="G250" s="0" t="n"/>
      <c r="H250" s="0" t="n"/>
      <c r="I250" s="13" t="n"/>
    </row>
    <row r="251">
      <c r="A251" s="0" t="n"/>
      <c r="B251" s="0" t="n"/>
      <c r="C251" s="0" t="n"/>
      <c r="D251" s="0" t="n"/>
      <c r="E251" s="0" t="n"/>
      <c r="F251" s="0" t="n"/>
      <c r="G251" s="0" t="n"/>
      <c r="H251" s="0" t="n"/>
      <c r="I251" s="13" t="n"/>
    </row>
    <row r="252">
      <c r="A252" s="0" t="n"/>
      <c r="B252" s="0" t="n"/>
      <c r="C252" s="0" t="n"/>
      <c r="D252" s="0" t="n"/>
      <c r="E252" s="0" t="n"/>
      <c r="F252" s="0" t="n"/>
      <c r="G252" s="0" t="n"/>
      <c r="H252" s="0" t="n"/>
      <c r="I252" s="13" t="n"/>
    </row>
    <row r="253">
      <c r="A253" s="0" t="n"/>
      <c r="B253" s="0" t="n"/>
      <c r="C253" s="0" t="n"/>
      <c r="D253" s="0" t="n"/>
      <c r="E253" s="0" t="n"/>
      <c r="F253" s="0" t="n"/>
      <c r="G253" s="0" t="n"/>
      <c r="H253" s="0" t="n"/>
      <c r="I253" s="13" t="n"/>
    </row>
    <row r="254">
      <c r="A254" s="0" t="n"/>
      <c r="B254" s="0" t="n"/>
      <c r="C254" s="0" t="n"/>
      <c r="D254" s="0" t="n"/>
      <c r="E254" s="0" t="n"/>
      <c r="F254" s="0" t="n"/>
      <c r="G254" s="0" t="n"/>
      <c r="H254" s="0" t="n"/>
      <c r="I254" s="13" t="n"/>
    </row>
    <row r="255">
      <c r="A255" s="0" t="n"/>
      <c r="B255" s="0" t="n"/>
      <c r="C255" s="0" t="n"/>
      <c r="D255" s="0" t="n"/>
      <c r="E255" s="0" t="n"/>
      <c r="F255" s="0" t="n"/>
      <c r="G255" s="0" t="n"/>
      <c r="H255" s="0" t="n"/>
      <c r="I255" s="13" t="n"/>
    </row>
    <row r="256">
      <c r="A256" s="0" t="n"/>
      <c r="B256" s="0" t="n"/>
      <c r="C256" s="0" t="n"/>
      <c r="D256" s="0" t="n"/>
      <c r="E256" s="0" t="n"/>
      <c r="F256" s="0" t="n"/>
      <c r="G256" s="0" t="n"/>
      <c r="H256" s="0" t="n"/>
      <c r="I256" s="13" t="n"/>
    </row>
    <row r="257">
      <c r="A257" s="0" t="n"/>
      <c r="B257" s="0" t="n"/>
      <c r="C257" s="0" t="n"/>
      <c r="D257" s="0" t="n"/>
      <c r="E257" s="0" t="n"/>
      <c r="F257" s="0" t="n"/>
      <c r="G257" s="0" t="n"/>
      <c r="H257" s="0" t="n"/>
      <c r="I257" s="13" t="n"/>
    </row>
    <row r="258">
      <c r="A258" s="0" t="n"/>
      <c r="B258" s="0" t="n"/>
      <c r="C258" s="0" t="n"/>
      <c r="D258" s="0" t="n"/>
      <c r="E258" s="0" t="n"/>
      <c r="F258" s="0" t="n"/>
      <c r="G258" s="0" t="n"/>
      <c r="H258" s="0" t="n"/>
      <c r="I258" s="13" t="n"/>
    </row>
    <row r="259">
      <c r="A259" s="0" t="n"/>
      <c r="B259" s="0" t="n"/>
      <c r="C259" s="0" t="n"/>
      <c r="D259" s="0" t="n"/>
      <c r="E259" s="0" t="n"/>
      <c r="F259" s="0" t="n"/>
      <c r="G259" s="0" t="n"/>
      <c r="H259" s="0" t="n"/>
      <c r="I259" s="13" t="n"/>
    </row>
    <row r="260">
      <c r="A260" s="0" t="n"/>
      <c r="B260" s="0" t="n"/>
      <c r="C260" s="0" t="n"/>
      <c r="D260" s="0" t="n"/>
      <c r="E260" s="0" t="n"/>
      <c r="F260" s="0" t="n"/>
      <c r="G260" s="0" t="n"/>
      <c r="H260" s="0" t="n"/>
      <c r="I260" s="13" t="n"/>
    </row>
    <row r="261">
      <c r="A261" s="0" t="n"/>
      <c r="B261" s="0" t="n"/>
      <c r="C261" s="0" t="n"/>
      <c r="D261" s="0" t="n"/>
      <c r="E261" s="0" t="n"/>
      <c r="F261" s="0" t="n"/>
      <c r="G261" s="0" t="n"/>
      <c r="H261" s="0" t="n"/>
      <c r="I261" s="13" t="n"/>
    </row>
    <row r="262">
      <c r="A262" s="0" t="n"/>
      <c r="B262" s="0" t="n"/>
      <c r="C262" s="0" t="n"/>
      <c r="D262" s="0" t="n"/>
      <c r="E262" s="0" t="n"/>
      <c r="F262" s="0" t="n"/>
      <c r="G262" s="0" t="n"/>
      <c r="H262" s="0" t="n"/>
      <c r="I262" s="13" t="n"/>
    </row>
    <row r="263">
      <c r="A263" s="0" t="n"/>
      <c r="B263" s="0" t="n"/>
      <c r="C263" s="0" t="n"/>
      <c r="D263" s="0" t="n"/>
      <c r="E263" s="0" t="n"/>
      <c r="F263" s="0" t="n"/>
      <c r="G263" s="0" t="n"/>
      <c r="H263" s="0" t="n"/>
      <c r="I263" s="13" t="n"/>
    </row>
    <row r="264">
      <c r="A264" s="0" t="n"/>
      <c r="B264" s="0" t="n"/>
      <c r="C264" s="0" t="n"/>
      <c r="D264" s="0" t="n"/>
      <c r="E264" s="0" t="n"/>
      <c r="F264" s="0" t="n"/>
      <c r="G264" s="0" t="n"/>
      <c r="H264" s="0" t="n"/>
      <c r="I264" s="13" t="n"/>
    </row>
    <row r="265">
      <c r="A265" s="0" t="n"/>
      <c r="B265" s="0" t="n"/>
      <c r="C265" s="0" t="n"/>
      <c r="D265" s="0" t="n"/>
      <c r="E265" s="0" t="n"/>
      <c r="F265" s="0" t="n"/>
      <c r="G265" s="0" t="n"/>
      <c r="H265" s="0" t="n"/>
      <c r="I265" s="13" t="n"/>
    </row>
    <row r="266">
      <c r="A266" s="0" t="n"/>
      <c r="B266" s="0" t="n"/>
      <c r="C266" s="0" t="n"/>
      <c r="D266" s="0" t="n"/>
      <c r="E266" s="0" t="n"/>
      <c r="F266" s="0" t="n"/>
      <c r="G266" s="0" t="n"/>
      <c r="H266" s="0" t="n"/>
      <c r="I266" s="13" t="n"/>
    </row>
    <row r="267">
      <c r="A267" s="0" t="n"/>
      <c r="B267" s="0" t="n"/>
      <c r="C267" s="0" t="n"/>
      <c r="D267" s="0" t="n"/>
      <c r="E267" s="0" t="n"/>
      <c r="F267" s="0" t="n"/>
      <c r="G267" s="0" t="n"/>
      <c r="H267" s="0" t="n"/>
      <c r="I267" s="13" t="n"/>
    </row>
    <row r="268">
      <c r="A268" s="0" t="n"/>
      <c r="B268" s="0" t="n"/>
      <c r="C268" s="0" t="n"/>
      <c r="D268" s="0" t="n"/>
      <c r="E268" s="0" t="n"/>
      <c r="F268" s="0" t="n"/>
      <c r="G268" s="0" t="n"/>
      <c r="H268" s="0" t="n"/>
      <c r="I268" s="13" t="n"/>
    </row>
    <row r="269">
      <c r="A269" s="0" t="n"/>
      <c r="B269" s="0" t="n"/>
      <c r="C269" s="0" t="n"/>
      <c r="D269" s="0" t="n"/>
      <c r="E269" s="0" t="n"/>
      <c r="F269" s="0" t="n"/>
      <c r="G269" s="0" t="n"/>
      <c r="H269" s="0" t="n"/>
      <c r="I269" s="13" t="n"/>
    </row>
    <row r="270">
      <c r="A270" s="0" t="n"/>
      <c r="B270" s="0" t="n"/>
      <c r="C270" s="0" t="n"/>
      <c r="D270" s="0" t="n"/>
      <c r="E270" s="0" t="n"/>
      <c r="F270" s="0" t="n"/>
      <c r="G270" s="0" t="n"/>
      <c r="H270" s="0" t="n"/>
      <c r="I270" s="13" t="n"/>
    </row>
  </sheetData>
  <sheetProtection selectLockedCells="0" selectUnlockedCells="0" sheet="1" objects="1" insertRows="1" insertHyperlinks="1" autoFilter="1" scenarios="1" formatColumns="1" deleteColumns="1" insertColumns="1" pivotTables="1" deleteRows="1" formatCells="1" formatRows="1" sort="1"/>
  <mergeCells count="42">
    <mergeCell ref="A24:B24"/>
    <mergeCell ref="A30:B30"/>
    <mergeCell ref="A15:B15"/>
    <mergeCell ref="A11:B11"/>
    <mergeCell ref="C31:H31"/>
    <mergeCell ref="A36:B36"/>
    <mergeCell ref="A6:B6"/>
    <mergeCell ref="A16:B16"/>
    <mergeCell ref="A7:B7"/>
    <mergeCell ref="A25:B25"/>
    <mergeCell ref="C3:I3"/>
    <mergeCell ref="A18:B18"/>
    <mergeCell ref="A27:B27"/>
    <mergeCell ref="A3:B3"/>
    <mergeCell ref="A12:B12"/>
    <mergeCell ref="A26:B26"/>
    <mergeCell ref="A21:B21"/>
    <mergeCell ref="A2:B2"/>
    <mergeCell ref="H2:I2"/>
    <mergeCell ref="A33:B33"/>
    <mergeCell ref="C2:G2"/>
    <mergeCell ref="C4:I4"/>
    <mergeCell ref="A5:B5"/>
    <mergeCell ref="G5:H5"/>
    <mergeCell ref="A32:B32"/>
    <mergeCell ref="A14:B14"/>
    <mergeCell ref="A23:B23"/>
    <mergeCell ref="C1:I1"/>
    <mergeCell ref="A17:B17"/>
    <mergeCell ref="A8:B8"/>
    <mergeCell ref="A22:B22"/>
    <mergeCell ref="A35:B35"/>
    <mergeCell ref="A4:B4"/>
    <mergeCell ref="A20:B20"/>
    <mergeCell ref="A29:B29"/>
    <mergeCell ref="A19:B19"/>
    <mergeCell ref="A10:B10"/>
    <mergeCell ref="A28:B28"/>
    <mergeCell ref="A13:B13"/>
    <mergeCell ref="A9:B9"/>
    <mergeCell ref="A31:B31"/>
    <mergeCell ref="A34:B34"/>
  </mergeCells>
  <dataValidations count="1">
    <dataValidation sqref="C2" showDropDown="0" showInputMessage="1" showErrorMessage="1" allowBlank="1" type="decimal">
      <formula1>0</formula1>
      <formula2>100</formula2>
    </dataValidation>
  </dataValidations>
  <printOptions horizontalCentered="1"/>
  <pageMargins left="0.25" right="0.25" top="0.75" bottom="0.75" header="0.3" footer="0.3"/>
  <pageSetup orientation="portrait" paperSize="9" fitToWidth="0"/>
  <legacyDrawing xmlns:r="http://schemas.openxmlformats.org/officeDocument/2006/relationships" r:id="anysvml"/>
</worksheet>
</file>

<file path=xl/worksheets/sheet2.xml><?xml version="1.0" encoding="utf-8"?>
<worksheet xmlns="http://schemas.openxmlformats.org/spreadsheetml/2006/main">
  <sheetPr codeName="Sheet5">
    <outlinePr summaryBelow="1" summaryRight="1"/>
    <pageSetUpPr/>
  </sheetPr>
  <dimension ref="A1:N38"/>
  <sheetViews>
    <sheetView zoomScaleNormal="100" workbookViewId="0">
      <selection activeCell="A1" sqref="A1:I1"/>
    </sheetView>
  </sheetViews>
  <sheetFormatPr baseColWidth="8" defaultColWidth="9.59765625" defaultRowHeight="18"/>
  <cols>
    <col width="9.59765625" customWidth="1" style="14" min="1" max="8"/>
    <col width="9.59765625" customWidth="1" style="15" min="9" max="9"/>
    <col width="9.59765625" customWidth="1" style="186" min="11" max="11"/>
    <col width="7.296875" customWidth="1" style="186" min="12" max="12"/>
    <col width="20.59765625" customWidth="1" style="201" min="13" max="13"/>
    <col width="4.69921875" customWidth="1" style="201" min="14" max="14"/>
  </cols>
  <sheetData>
    <row r="1" ht="18.6" customHeight="1" s="7" thickBot="1">
      <c r="A1" s="440" t="inlineStr">
        <is>
          <t>付帯部</t>
        </is>
      </c>
      <c r="B1" s="763" t="n"/>
      <c r="C1" s="763" t="n"/>
      <c r="D1" s="763" t="n"/>
      <c r="E1" s="763" t="n"/>
      <c r="F1" s="763" t="n"/>
      <c r="G1" s="763" t="n"/>
      <c r="H1" s="763" t="n"/>
      <c r="I1" s="764" t="n"/>
      <c r="K1" s="202" t="inlineStr">
        <is>
          <t>数量</t>
        </is>
      </c>
      <c r="M1" s="200" t="inlineStr">
        <is>
          <t>単価</t>
        </is>
      </c>
      <c r="N1" s="200" t="n"/>
    </row>
    <row r="2" ht="18.6" customHeight="1" s="7" thickTop="1">
      <c r="A2" s="448" t="inlineStr">
        <is>
          <t>ｼｬｯﾀｰﾎﾞｯｸｽ</t>
        </is>
      </c>
      <c r="B2" s="765" t="n"/>
      <c r="C2" s="55" t="n"/>
      <c r="D2" s="444" t="inlineStr">
        <is>
          <t>ﾊﾟｰﾃｰｼｮﾝ</t>
        </is>
      </c>
      <c r="E2" s="745" t="n"/>
      <c r="F2" s="55" t="n"/>
      <c r="G2" s="444" t="inlineStr">
        <is>
          <t>庇</t>
        </is>
      </c>
      <c r="H2" s="745" t="n"/>
      <c r="I2" s="151" t="n"/>
      <c r="K2" s="186" t="inlineStr">
        <is>
          <t>キー</t>
        </is>
      </c>
      <c r="L2" s="186" t="inlineStr">
        <is>
          <t>値</t>
        </is>
      </c>
      <c r="M2" s="201" t="inlineStr">
        <is>
          <t>キー</t>
        </is>
      </c>
      <c r="N2" s="201" t="inlineStr">
        <is>
          <t>値</t>
        </is>
      </c>
    </row>
    <row r="3" ht="18.6" customHeight="1" s="7" thickBot="1">
      <c r="A3" s="449" t="inlineStr">
        <is>
          <t>笠木</t>
        </is>
      </c>
      <c r="B3" s="648" t="n"/>
      <c r="C3" s="167" t="n"/>
      <c r="D3" s="446" t="inlineStr">
        <is>
          <t>配管</t>
        </is>
      </c>
      <c r="E3" s="648" t="n"/>
      <c r="F3" s="148" t="n"/>
      <c r="G3" s="446" t="inlineStr">
        <is>
          <t>手摺</t>
        </is>
      </c>
      <c r="H3" s="648" t="n"/>
      <c r="I3" s="54" t="n"/>
      <c r="K3" s="186" t="inlineStr">
        <is>
          <t>ｼｬｯﾀｰﾎﾞｯｸｽ</t>
        </is>
      </c>
      <c r="L3" s="186">
        <f>C2</f>
        <v/>
      </c>
      <c r="M3" s="201" t="inlineStr">
        <is>
          <t>外壁下塗り</t>
        </is>
      </c>
      <c r="N3" s="201" t="n">
        <v>600</v>
      </c>
    </row>
    <row r="4" ht="19.2" customHeight="1" s="7" thickBot="1" thickTop="1">
      <c r="A4" s="170" t="inlineStr">
        <is>
          <t>水切り</t>
        </is>
      </c>
      <c r="B4" s="766" t="b">
        <v>1</v>
      </c>
      <c r="C4" s="767">
        <f>IF(B4, 物件概要!G7)</f>
        <v/>
      </c>
      <c r="D4" s="446" t="inlineStr">
        <is>
          <t>設備架台</t>
        </is>
      </c>
      <c r="E4" s="648" t="n"/>
      <c r="F4" s="148" t="n"/>
      <c r="G4" s="446" t="inlineStr">
        <is>
          <t>ｽﾘﾑﾀﾞｸﾄ</t>
        </is>
      </c>
      <c r="H4" s="648" t="n"/>
      <c r="I4" s="54" t="n"/>
      <c r="K4" s="186" t="inlineStr">
        <is>
          <t>笠木</t>
        </is>
      </c>
      <c r="L4" s="186">
        <f>C3</f>
        <v/>
      </c>
      <c r="M4" s="201" t="inlineStr">
        <is>
          <t>外壁中/上塗り</t>
        </is>
      </c>
      <c r="N4" s="201" t="n">
        <v>1800</v>
      </c>
    </row>
    <row r="5" ht="18.6" customHeight="1" s="7" thickTop="1">
      <c r="A5" s="427" t="inlineStr">
        <is>
          <t>鉄部</t>
        </is>
      </c>
      <c r="B5" s="648" t="n"/>
      <c r="C5" s="169" t="n"/>
      <c r="D5" s="451" t="inlineStr">
        <is>
          <t>面台</t>
        </is>
      </c>
      <c r="E5" s="648" t="n"/>
      <c r="F5" s="149" t="n"/>
      <c r="G5" s="451" t="inlineStr">
        <is>
          <t>SD</t>
        </is>
      </c>
      <c r="H5" s="648" t="n"/>
      <c r="I5" s="54" t="n"/>
      <c r="K5" s="186" t="inlineStr">
        <is>
          <t>水切り</t>
        </is>
      </c>
      <c r="L5" s="187">
        <f>C4</f>
        <v/>
      </c>
      <c r="M5" s="201" t="inlineStr">
        <is>
          <t>屋根下塗り</t>
        </is>
      </c>
      <c r="N5" s="201" t="n">
        <v>600</v>
      </c>
    </row>
    <row r="6">
      <c r="A6" s="429" t="inlineStr">
        <is>
          <t>設備収納庫大</t>
        </is>
      </c>
      <c r="B6" s="648" t="n"/>
      <c r="C6" s="150" t="n"/>
      <c r="D6" s="451" t="inlineStr">
        <is>
          <t>設備収納庫中</t>
        </is>
      </c>
      <c r="E6" s="648" t="n"/>
      <c r="F6" s="150" t="n"/>
      <c r="G6" s="451" t="inlineStr">
        <is>
          <t>設備収納庫小</t>
        </is>
      </c>
      <c r="H6" s="648" t="n"/>
      <c r="I6" s="150" t="n"/>
      <c r="K6" s="186" t="inlineStr">
        <is>
          <t>鉄部</t>
        </is>
      </c>
      <c r="L6" s="186">
        <f>C5</f>
        <v/>
      </c>
      <c r="M6" s="201" t="inlineStr">
        <is>
          <t>屋根中/上塗り</t>
        </is>
      </c>
      <c r="N6" s="201" t="n">
        <v>1900</v>
      </c>
    </row>
    <row r="7">
      <c r="A7" s="429" t="inlineStr">
        <is>
          <t>雨戸・戸袋大</t>
        </is>
      </c>
      <c r="B7" s="648" t="n"/>
      <c r="C7" s="150" t="n"/>
      <c r="D7" s="451" t="inlineStr">
        <is>
          <t>雨戸・戸袋中</t>
        </is>
      </c>
      <c r="E7" s="648" t="n"/>
      <c r="F7" s="150" t="n"/>
      <c r="G7" s="451" t="inlineStr">
        <is>
          <t>雨戸・戸袋小</t>
        </is>
      </c>
      <c r="H7" s="648" t="n"/>
      <c r="I7" s="150" t="n"/>
      <c r="K7" s="186" t="inlineStr">
        <is>
          <t>雨戸大</t>
        </is>
      </c>
      <c r="L7" s="186">
        <f>C7</f>
        <v/>
      </c>
      <c r="M7" s="201" t="inlineStr">
        <is>
          <t>外部足場組立・解体費</t>
        </is>
      </c>
      <c r="N7" s="201" t="n">
        <v>950</v>
      </c>
    </row>
    <row r="8">
      <c r="A8" s="429" t="inlineStr">
        <is>
          <t>ｳｪｻﾞｰｶﾊﾞｰ大</t>
        </is>
      </c>
      <c r="B8" s="648" t="n"/>
      <c r="C8" s="150" t="n"/>
      <c r="D8" s="451" t="inlineStr">
        <is>
          <t>ｳｪｻﾞｰｶﾊﾞｰ中</t>
        </is>
      </c>
      <c r="E8" s="648" t="n"/>
      <c r="F8" s="150" t="n"/>
      <c r="G8" s="451" t="inlineStr">
        <is>
          <t>ﾍﾞﾝﾄｷｬｯﾌﾟ</t>
        </is>
      </c>
      <c r="H8" s="648" t="n"/>
      <c r="I8" s="150" t="n"/>
      <c r="K8" s="186" t="inlineStr">
        <is>
          <t>雨戸中</t>
        </is>
      </c>
      <c r="L8" s="186">
        <f>F7</f>
        <v/>
      </c>
      <c r="M8" s="201" t="inlineStr">
        <is>
          <t>足場養生メッシュシート張り</t>
        </is>
      </c>
      <c r="N8" s="201" t="n">
        <v>150</v>
      </c>
    </row>
    <row r="9" ht="18.6" customHeight="1" s="7" thickBot="1">
      <c r="A9" s="429" t="inlineStr">
        <is>
          <t>枠大</t>
        </is>
      </c>
      <c r="B9" s="648" t="n"/>
      <c r="C9" s="167" t="n"/>
      <c r="D9" s="451" t="inlineStr">
        <is>
          <t>枠中</t>
        </is>
      </c>
      <c r="E9" s="648" t="n"/>
      <c r="F9" s="167" t="n"/>
      <c r="G9" s="451" t="inlineStr">
        <is>
          <t>枠小</t>
        </is>
      </c>
      <c r="H9" s="648" t="n"/>
      <c r="I9" s="168" t="n"/>
      <c r="K9" s="186" t="inlineStr">
        <is>
          <t>雨戸小</t>
        </is>
      </c>
      <c r="L9" s="186">
        <f>I7</f>
        <v/>
      </c>
      <c r="M9" s="201" t="inlineStr">
        <is>
          <t>下地調査費</t>
        </is>
      </c>
      <c r="N9" s="201" t="n">
        <v>200</v>
      </c>
    </row>
    <row r="10" ht="18.6" customHeight="1" s="7" thickTop="1">
      <c r="A10" s="433" t="inlineStr">
        <is>
          <t>予備欄</t>
        </is>
      </c>
      <c r="B10" s="648" t="n"/>
      <c r="C10" s="166" t="n"/>
      <c r="D10" s="434" t="inlineStr">
        <is>
          <t>予備欄</t>
        </is>
      </c>
      <c r="E10" s="648" t="n"/>
      <c r="F10" s="166" t="n"/>
      <c r="G10" s="434" t="inlineStr">
        <is>
          <t>予備欄</t>
        </is>
      </c>
      <c r="H10" s="648" t="n"/>
      <c r="I10" s="162" t="n"/>
      <c r="K10" s="186" t="inlineStr">
        <is>
          <t>庇</t>
        </is>
      </c>
      <c r="L10" s="186">
        <f>I2</f>
        <v/>
      </c>
      <c r="M10" s="201" t="inlineStr">
        <is>
          <t>高圧洗浄</t>
        </is>
      </c>
      <c r="N10" s="201" t="n">
        <v>175</v>
      </c>
    </row>
    <row r="11">
      <c r="A11" s="433" t="inlineStr">
        <is>
          <t>予備欄</t>
        </is>
      </c>
      <c r="B11" s="648" t="n"/>
      <c r="C11" s="144" t="n"/>
      <c r="D11" s="434" t="inlineStr">
        <is>
          <t>予備欄</t>
        </is>
      </c>
      <c r="E11" s="648" t="n"/>
      <c r="F11" s="144" t="n"/>
      <c r="G11" s="434" t="inlineStr">
        <is>
          <t>予備欄</t>
        </is>
      </c>
      <c r="H11" s="648" t="n"/>
      <c r="I11" s="29" t="n"/>
      <c r="K11" s="186" t="inlineStr">
        <is>
          <t>手摺</t>
        </is>
      </c>
      <c r="L11" s="186">
        <f>I3</f>
        <v/>
      </c>
      <c r="M11" s="201" t="inlineStr">
        <is>
          <t>軒天下塗り</t>
        </is>
      </c>
      <c r="N11" s="201" t="n">
        <v>600</v>
      </c>
    </row>
    <row r="12">
      <c r="A12" s="431" t="inlineStr">
        <is>
          <t>予備欄</t>
        </is>
      </c>
      <c r="B12" s="648" t="n"/>
      <c r="C12" s="146" t="n"/>
      <c r="D12" s="434" t="inlineStr">
        <is>
          <t>予備欄</t>
        </is>
      </c>
      <c r="E12" s="648" t="n"/>
      <c r="F12" s="146" t="n"/>
      <c r="G12" s="434" t="inlineStr">
        <is>
          <t>予備欄</t>
        </is>
      </c>
      <c r="H12" s="648" t="n"/>
      <c r="I12" s="171" t="n"/>
      <c r="K12" s="186" t="inlineStr">
        <is>
          <t>ｽﾘﾑﾀﾞｸﾄ</t>
        </is>
      </c>
      <c r="L12" s="186">
        <f>I4</f>
        <v/>
      </c>
      <c r="M12" s="201" t="inlineStr">
        <is>
          <t>軒天中/上塗り</t>
        </is>
      </c>
      <c r="N12" s="201" t="n">
        <v>600</v>
      </c>
    </row>
    <row r="13" ht="23.55" customHeight="1" s="7">
      <c r="A13" s="452" t="inlineStr">
        <is>
          <t>備考欄</t>
        </is>
      </c>
      <c r="B13" s="768" t="n"/>
      <c r="C13" s="768" t="n"/>
      <c r="D13" s="768" t="n"/>
      <c r="E13" s="768" t="n"/>
      <c r="F13" s="768" t="n"/>
      <c r="G13" s="768" t="n"/>
      <c r="H13" s="768" t="n"/>
      <c r="I13" s="769" t="n"/>
      <c r="K13" s="186" t="inlineStr">
        <is>
          <t>枠大</t>
        </is>
      </c>
      <c r="L13" s="186">
        <f>C9</f>
        <v/>
      </c>
      <c r="M13" s="201" t="inlineStr">
        <is>
          <t>軒樋下塗り</t>
        </is>
      </c>
      <c r="N13" s="201" t="n">
        <v>380</v>
      </c>
    </row>
    <row r="14">
      <c r="A14" s="770" t="inlineStr">
        <is>
          <t>構造</t>
        </is>
      </c>
      <c r="B14" s="771" t="n"/>
      <c r="C14" s="771" t="n"/>
      <c r="D14" s="771" t="n"/>
      <c r="E14" s="771" t="n"/>
      <c r="F14" s="771" t="n"/>
      <c r="G14" s="772" t="n"/>
      <c r="H14" s="773" t="inlineStr">
        <is>
          <t>W　S　RC　SRC　他</t>
        </is>
      </c>
      <c r="I14" s="774" t="n"/>
      <c r="K14" s="186" t="inlineStr">
        <is>
          <t>枠中</t>
        </is>
      </c>
      <c r="L14" s="186">
        <f>F9</f>
        <v/>
      </c>
      <c r="M14" s="201" t="inlineStr">
        <is>
          <t>軒樋中/上塗り</t>
        </is>
      </c>
      <c r="N14" s="201" t="n">
        <v>480</v>
      </c>
    </row>
    <row r="15" ht="18.6" customHeight="1" s="7" thickBot="1">
      <c r="A15" s="437" t="inlineStr">
        <is>
          <t>共用部</t>
        </is>
      </c>
      <c r="B15" s="765" t="n"/>
      <c r="C15" s="78" t="inlineStr">
        <is>
          <t>幅</t>
        </is>
      </c>
      <c r="D15" s="78" t="inlineStr">
        <is>
          <t>長さ</t>
        </is>
      </c>
      <c r="E15" s="16" t="inlineStr">
        <is>
          <t>面積</t>
        </is>
      </c>
      <c r="F15" s="16" t="n"/>
      <c r="G15" s="78" t="inlineStr">
        <is>
          <t>幅</t>
        </is>
      </c>
      <c r="H15" s="78" t="inlineStr">
        <is>
          <t>段数</t>
        </is>
      </c>
      <c r="I15" s="161" t="inlineStr">
        <is>
          <t>踏面+蹴上</t>
        </is>
      </c>
      <c r="K15" s="186" t="inlineStr">
        <is>
          <t>枠小</t>
        </is>
      </c>
      <c r="L15" s="186">
        <f>I9</f>
        <v/>
      </c>
      <c r="M15" s="201" t="inlineStr">
        <is>
          <t>竪樋下塗り</t>
        </is>
      </c>
      <c r="N15" s="201" t="n">
        <v>380</v>
      </c>
    </row>
    <row r="16" ht="18.6" customHeight="1" s="7" thickTop="1">
      <c r="A16" s="371" t="inlineStr">
        <is>
          <t>1F廊下（㎡）</t>
        </is>
      </c>
      <c r="B16" s="648" t="n"/>
      <c r="C16" s="152" t="n"/>
      <c r="D16" s="153" t="n"/>
      <c r="E16" s="671">
        <f>SUM(C16*D16)</f>
        <v/>
      </c>
      <c r="F16" s="156" t="inlineStr">
        <is>
          <t>1F-2F</t>
        </is>
      </c>
      <c r="G16" s="152" t="n"/>
      <c r="H16" s="157" t="n"/>
      <c r="I16" s="158" t="n"/>
      <c r="K16" s="186" t="inlineStr">
        <is>
          <t>廊下</t>
        </is>
      </c>
      <c r="L16" s="186">
        <f>SUM(E16:E25)</f>
        <v/>
      </c>
      <c r="M16" s="201" t="inlineStr">
        <is>
          <t>竪樋中/上塗り</t>
        </is>
      </c>
      <c r="N16" s="201" t="n">
        <v>480</v>
      </c>
    </row>
    <row r="17">
      <c r="A17" s="371" t="inlineStr">
        <is>
          <t>2F廊下（㎡）</t>
        </is>
      </c>
      <c r="B17" s="648" t="n"/>
      <c r="C17" s="70" t="n"/>
      <c r="D17" s="67" t="n"/>
      <c r="E17" s="671">
        <f>SUM(C17*D17)</f>
        <v/>
      </c>
      <c r="F17" s="156" t="inlineStr">
        <is>
          <t>1F-3F</t>
        </is>
      </c>
      <c r="G17" s="70" t="n"/>
      <c r="H17" s="22" t="n"/>
      <c r="I17" s="145" t="n"/>
      <c r="K17" s="186" t="inlineStr">
        <is>
          <t>段数</t>
        </is>
      </c>
      <c r="L17" s="186">
        <f>SUM(H16:H24)</f>
        <v/>
      </c>
      <c r="M17" s="201" t="inlineStr">
        <is>
          <t>破風下塗り</t>
        </is>
      </c>
      <c r="N17" s="201" t="n">
        <v>450</v>
      </c>
    </row>
    <row r="18">
      <c r="A18" s="371" t="inlineStr">
        <is>
          <t>3F廊下（㎡）</t>
        </is>
      </c>
      <c r="B18" s="648" t="n"/>
      <c r="C18" s="70" t="n"/>
      <c r="D18" s="67" t="n"/>
      <c r="E18" s="671">
        <f>SUM(C18*D18)</f>
        <v/>
      </c>
      <c r="F18" s="156" t="inlineStr">
        <is>
          <t>1F-4F</t>
        </is>
      </c>
      <c r="G18" s="70" t="n"/>
      <c r="H18" s="22" t="n"/>
      <c r="I18" s="145" t="n"/>
      <c r="K18" s="186" t="inlineStr">
        <is>
          <t>端末</t>
        </is>
      </c>
      <c r="L18" s="186">
        <f>G25</f>
        <v/>
      </c>
      <c r="M18" s="201" t="inlineStr">
        <is>
          <t>破風中塗り/上塗り</t>
        </is>
      </c>
      <c r="N18" s="201" t="n">
        <v>630</v>
      </c>
    </row>
    <row r="19">
      <c r="A19" s="371" t="inlineStr">
        <is>
          <t>4F廊下（㎡）</t>
        </is>
      </c>
      <c r="B19" s="648" t="n"/>
      <c r="C19" s="70" t="n"/>
      <c r="D19" s="67" t="n"/>
      <c r="E19" s="671">
        <f>SUM(C19*D19)</f>
        <v/>
      </c>
      <c r="F19" s="156" t="inlineStr">
        <is>
          <t>1F-5F</t>
        </is>
      </c>
      <c r="G19" s="70" t="n"/>
      <c r="H19" s="22" t="n"/>
      <c r="I19" s="145" t="n"/>
      <c r="K19" s="186" t="inlineStr">
        <is>
          <t>ｸﾗｯｸ小</t>
        </is>
      </c>
      <c r="L19" s="186">
        <f>C27</f>
        <v/>
      </c>
      <c r="M19" s="201" t="inlineStr">
        <is>
          <t>基礎塗装下塗り</t>
        </is>
      </c>
      <c r="N19" s="201" t="n">
        <v>550</v>
      </c>
    </row>
    <row r="20">
      <c r="A20" s="371" t="inlineStr">
        <is>
          <t>5F廊下（㎡）</t>
        </is>
      </c>
      <c r="B20" s="648" t="n"/>
      <c r="C20" s="70" t="n"/>
      <c r="D20" s="67" t="n"/>
      <c r="E20" s="671">
        <f>SUM(C20*D20)</f>
        <v/>
      </c>
      <c r="F20" s="156" t="inlineStr">
        <is>
          <t>1F-6F</t>
        </is>
      </c>
      <c r="G20" s="70" t="n"/>
      <c r="H20" s="22" t="n"/>
      <c r="I20" s="145" t="n"/>
      <c r="K20" s="186" t="inlineStr">
        <is>
          <t>ｸﾗｯｸ中</t>
        </is>
      </c>
      <c r="L20" s="186">
        <f>F27</f>
        <v/>
      </c>
      <c r="M20" s="201" t="inlineStr">
        <is>
          <t>基礎塗装中/上塗り</t>
        </is>
      </c>
      <c r="N20" s="201" t="n">
        <v>2100</v>
      </c>
    </row>
    <row r="21">
      <c r="A21" s="371" t="inlineStr">
        <is>
          <t>6F廊下（㎡）</t>
        </is>
      </c>
      <c r="B21" s="648" t="n"/>
      <c r="C21" s="70" t="n"/>
      <c r="D21" s="67" t="n"/>
      <c r="E21" s="671">
        <f>SUM(C21*D21)</f>
        <v/>
      </c>
      <c r="F21" s="156" t="inlineStr">
        <is>
          <t>1F-7F</t>
        </is>
      </c>
      <c r="G21" s="70" t="n"/>
      <c r="H21" s="22" t="n"/>
      <c r="I21" s="145" t="n"/>
      <c r="K21" s="186" t="inlineStr">
        <is>
          <t>ｸﾗｯｸ大</t>
        </is>
      </c>
      <c r="L21" s="186">
        <f>I27</f>
        <v/>
      </c>
      <c r="M21" s="201" t="inlineStr">
        <is>
          <t>ｼｰﾙ打ち換え</t>
        </is>
      </c>
      <c r="N21" s="201" t="n">
        <v>680</v>
      </c>
    </row>
    <row r="22">
      <c r="A22" s="371" t="inlineStr">
        <is>
          <t>7F廊下（㎡）</t>
        </is>
      </c>
      <c r="B22" s="648" t="n"/>
      <c r="C22" s="70" t="n"/>
      <c r="D22" s="67" t="n"/>
      <c r="E22" s="671">
        <f>SUM(C22*D22)</f>
        <v/>
      </c>
      <c r="F22" s="156" t="inlineStr">
        <is>
          <t>1F-8F</t>
        </is>
      </c>
      <c r="G22" s="70" t="n"/>
      <c r="H22" s="22" t="n"/>
      <c r="I22" s="145" t="n"/>
      <c r="K22" s="186" t="inlineStr">
        <is>
          <t>欠損小</t>
        </is>
      </c>
      <c r="L22" s="186">
        <f>C28</f>
        <v/>
      </c>
      <c r="M22" s="201" t="inlineStr">
        <is>
          <t>ｼｰﾙ増し打ち</t>
        </is>
      </c>
      <c r="N22" s="201" t="n">
        <v>490</v>
      </c>
    </row>
    <row r="23">
      <c r="A23" s="371" t="inlineStr">
        <is>
          <t>8F廊下（㎡）</t>
        </is>
      </c>
      <c r="B23" s="648" t="n"/>
      <c r="C23" s="70" t="n"/>
      <c r="D23" s="67" t="n"/>
      <c r="E23" s="671">
        <f>SUM(C23*D23)</f>
        <v/>
      </c>
      <c r="F23" s="156" t="inlineStr">
        <is>
          <t>1F-9F</t>
        </is>
      </c>
      <c r="G23" s="70" t="n"/>
      <c r="H23" s="22" t="n"/>
      <c r="I23" s="145" t="n"/>
      <c r="K23" s="186" t="inlineStr">
        <is>
          <t>欠損大</t>
        </is>
      </c>
      <c r="L23" s="186">
        <f>F28</f>
        <v/>
      </c>
      <c r="M23" s="201" t="inlineStr">
        <is>
          <t>平場長尺シート貼込</t>
        </is>
      </c>
      <c r="N23" s="201" t="n">
        <v>5500</v>
      </c>
    </row>
    <row r="24" ht="18.6" customHeight="1" s="7" thickBot="1">
      <c r="A24" s="371" t="inlineStr">
        <is>
          <t>9F廊下（㎡）</t>
        </is>
      </c>
      <c r="B24" s="648" t="n"/>
      <c r="C24" s="70" t="n"/>
      <c r="D24" s="67" t="n"/>
      <c r="E24" s="671">
        <f>SUM(C24*D24)</f>
        <v/>
      </c>
      <c r="F24" s="156" t="inlineStr">
        <is>
          <t>1F-10F</t>
        </is>
      </c>
      <c r="G24" s="154" t="n"/>
      <c r="H24" s="147" t="n"/>
      <c r="I24" s="159" t="n"/>
      <c r="K24" s="186" t="inlineStr">
        <is>
          <t>脆弱</t>
        </is>
      </c>
      <c r="L24" s="186">
        <f>I28</f>
        <v/>
      </c>
      <c r="M24" s="201" t="inlineStr">
        <is>
          <t>階段ステップ貼込</t>
        </is>
      </c>
      <c r="N24" s="201" t="n">
        <v>5900</v>
      </c>
    </row>
    <row r="25" ht="19.2" customHeight="1" s="7" thickBot="1" thickTop="1">
      <c r="A25" s="456" t="inlineStr">
        <is>
          <t>10F廊下（㎡）</t>
        </is>
      </c>
      <c r="B25" s="705" t="n"/>
      <c r="C25" s="154" t="n"/>
      <c r="D25" s="155" t="n"/>
      <c r="E25" s="775">
        <f>SUM(C25*D25)</f>
        <v/>
      </c>
      <c r="F25" s="165" t="inlineStr">
        <is>
          <t>端部長さ</t>
        </is>
      </c>
      <c r="G25" s="681">
        <f t="array" ref="G25">SUM((C16:C25+D16:D25)*2) + SUM(((G16:G24+I16:I24)*2) * H16:H24)</f>
        <v/>
      </c>
      <c r="H25" s="438" t="inlineStr">
        <is>
          <t>予備欄</t>
        </is>
      </c>
      <c r="I25" s="776" t="n"/>
      <c r="K25" s="186" t="inlineStr">
        <is>
          <t>爆裂小</t>
        </is>
      </c>
      <c r="L25" s="186">
        <f>C29</f>
        <v/>
      </c>
      <c r="M25" s="201" t="inlineStr">
        <is>
          <t>ｼｰﾙ打ち込み</t>
        </is>
      </c>
      <c r="N25" s="201" t="n">
        <v>550</v>
      </c>
    </row>
    <row r="26" ht="19.2" customHeight="1" s="7" thickBot="1" thickTop="1">
      <c r="A26" s="458" t="inlineStr">
        <is>
          <t>付帯工事</t>
        </is>
      </c>
      <c r="B26" s="777" t="n"/>
      <c r="C26" s="777" t="n"/>
      <c r="D26" s="777" t="n"/>
      <c r="E26" s="777" t="n"/>
      <c r="F26" s="777" t="n"/>
      <c r="G26" s="777" t="n"/>
      <c r="H26" s="777" t="n"/>
      <c r="I26" s="778" t="n"/>
      <c r="K26" s="186" t="inlineStr">
        <is>
          <t>爆裂大</t>
        </is>
      </c>
      <c r="L26" s="186">
        <f>F29</f>
        <v/>
      </c>
      <c r="M26" s="201" t="inlineStr">
        <is>
          <t>平場長尺シート撤去</t>
        </is>
      </c>
      <c r="N26" s="201" t="n">
        <v>600</v>
      </c>
    </row>
    <row r="27" ht="18.6" customHeight="1" s="7" thickTop="1">
      <c r="A27" s="479" t="inlineStr">
        <is>
          <t>ｸﾗｯｸ補修 W=0.3mm未満</t>
        </is>
      </c>
      <c r="B27" s="765" t="n"/>
      <c r="C27" s="53" t="n"/>
      <c r="D27" s="492" t="inlineStr">
        <is>
          <t>ｸﾗｯｸ補修 W=0.3mm-1.0mm</t>
        </is>
      </c>
      <c r="E27" s="745" t="n"/>
      <c r="F27" s="53" t="n"/>
      <c r="G27" s="485" t="inlineStr">
        <is>
          <t>ｸﾗｯｸ補修 構造体部=W0.3mm以上</t>
        </is>
      </c>
      <c r="H27" s="745" t="n"/>
      <c r="I27" s="151" t="n"/>
      <c r="K27" s="186" t="inlineStr">
        <is>
          <t>段差調整</t>
        </is>
      </c>
      <c r="L27" s="186">
        <f>I29</f>
        <v/>
      </c>
      <c r="M27" s="201" t="inlineStr">
        <is>
          <t>階段ステップ撤去</t>
        </is>
      </c>
      <c r="N27" s="201" t="n">
        <v>600</v>
      </c>
    </row>
    <row r="28">
      <c r="A28" s="481" t="inlineStr">
        <is>
          <t>欠損部補修（100×100未満）</t>
        </is>
      </c>
      <c r="B28" s="648" t="n"/>
      <c r="C28" s="174" t="n"/>
      <c r="D28" s="487" t="inlineStr">
        <is>
          <t>欠損部補修（100×100以上）</t>
        </is>
      </c>
      <c r="E28" s="648" t="n"/>
      <c r="F28" s="174" t="n"/>
      <c r="G28" s="390" t="inlineStr">
        <is>
          <t>脆弱部特別撤去</t>
        </is>
      </c>
      <c r="H28" s="648" t="n"/>
      <c r="I28" s="174" t="n"/>
      <c r="K28" s="186" t="inlineStr">
        <is>
          <t>浮き小</t>
        </is>
      </c>
      <c r="L28" s="186">
        <f>C30</f>
        <v/>
      </c>
    </row>
    <row r="29">
      <c r="A29" s="483" t="inlineStr">
        <is>
          <t>鉄筋爆裂部補修（100×100未満）</t>
        </is>
      </c>
      <c r="B29" s="648" t="n"/>
      <c r="C29" s="174" t="n"/>
      <c r="D29" s="465" t="inlineStr">
        <is>
          <t>鉄筋爆裂部補修（100×100以上）</t>
        </is>
      </c>
      <c r="E29" s="648" t="n"/>
      <c r="F29" s="174" t="n"/>
      <c r="G29" s="390" t="inlineStr">
        <is>
          <t>脆弱塗膜剥離段差調整</t>
        </is>
      </c>
      <c r="H29" s="648" t="n"/>
      <c r="I29" s="174" t="n"/>
      <c r="K29" s="186" t="inlineStr">
        <is>
          <t>浮き中</t>
        </is>
      </c>
      <c r="L29" s="186">
        <f>F30</f>
        <v/>
      </c>
    </row>
    <row r="30" ht="18.6" customHeight="1" s="7" thickBot="1">
      <c r="A30" s="484" t="inlineStr">
        <is>
          <t>浮き補修（0.25㎡未満）</t>
        </is>
      </c>
      <c r="B30" s="648" t="n"/>
      <c r="C30" s="190" t="n"/>
      <c r="D30" s="467" t="inlineStr">
        <is>
          <t>浮き補修(0.25㎡超)</t>
        </is>
      </c>
      <c r="E30" s="648" t="n"/>
      <c r="F30" s="175" t="n"/>
      <c r="G30" s="487" t="inlineStr">
        <is>
          <t>浮き補修(浮きしろ1.0mm超)</t>
        </is>
      </c>
      <c r="H30" s="648" t="n"/>
      <c r="I30" s="175" t="n"/>
      <c r="K30" s="186" t="inlineStr">
        <is>
          <t>浮き大</t>
        </is>
      </c>
      <c r="L30" s="186">
        <f>I30</f>
        <v/>
      </c>
    </row>
    <row r="31" ht="18.6" customHeight="1" s="7" thickTop="1">
      <c r="A31" s="490" t="inlineStr">
        <is>
          <t>予備欄</t>
        </is>
      </c>
      <c r="B31" s="648" t="n"/>
      <c r="C31" s="172" t="n"/>
      <c r="D31" s="469" t="inlineStr">
        <is>
          <t>予備欄</t>
        </is>
      </c>
      <c r="E31" s="648" t="n"/>
      <c r="F31" s="173" t="n"/>
      <c r="G31" s="471" t="inlineStr">
        <is>
          <t>予備欄</t>
        </is>
      </c>
      <c r="H31" s="648" t="n"/>
      <c r="I31" s="176" t="n"/>
    </row>
    <row r="32" ht="18.6" customHeight="1" s="7" thickBot="1">
      <c r="A32" s="488" t="inlineStr">
        <is>
          <t>予備欄</t>
        </is>
      </c>
      <c r="B32" s="648" t="n"/>
      <c r="C32" s="177" t="n"/>
      <c r="D32" s="469" t="inlineStr">
        <is>
          <t>予備欄</t>
        </is>
      </c>
      <c r="E32" s="648" t="n"/>
      <c r="F32" s="177" t="n"/>
      <c r="G32" s="471" t="inlineStr">
        <is>
          <t>予備欄</t>
        </is>
      </c>
      <c r="H32" s="648" t="n"/>
      <c r="I32" s="163" t="n"/>
    </row>
    <row r="33" ht="23.55" customHeight="1" s="7" thickBot="1" thickTop="1">
      <c r="A33" s="393" t="inlineStr">
        <is>
          <t>電気工事</t>
        </is>
      </c>
      <c r="B33" s="407" t="n"/>
      <c r="C33" s="647" t="n"/>
      <c r="D33" s="394" t="inlineStr">
        <is>
          <t>設備工事</t>
        </is>
      </c>
      <c r="E33" s="407" t="n"/>
      <c r="F33" s="647" t="n"/>
      <c r="G33" s="178" t="inlineStr">
        <is>
          <t>その他</t>
        </is>
      </c>
      <c r="H33" s="477" t="n"/>
      <c r="I33" s="705" t="n"/>
    </row>
    <row r="34" ht="23.55" customHeight="1" s="7" thickBot="1" thickTop="1">
      <c r="A34" s="393" t="inlineStr">
        <is>
          <t>準備費</t>
        </is>
      </c>
      <c r="B34" s="363" t="n"/>
      <c r="C34" s="650" t="n"/>
      <c r="D34" s="394" t="inlineStr">
        <is>
          <t>仮設費</t>
        </is>
      </c>
      <c r="E34" s="363" t="n"/>
      <c r="F34" s="650" t="n"/>
      <c r="G34" s="394" t="inlineStr">
        <is>
          <t>工事施設費</t>
        </is>
      </c>
      <c r="H34" s="463" t="n"/>
      <c r="I34" s="779" t="n"/>
    </row>
    <row r="35" ht="23.55" customHeight="1" s="7" thickBot="1" thickTop="1">
      <c r="A35" s="393" t="inlineStr">
        <is>
          <t>環境安全費</t>
        </is>
      </c>
      <c r="B35" s="411" t="n"/>
      <c r="C35" s="654" t="n"/>
      <c r="D35" s="394" t="inlineStr">
        <is>
          <t>機械器具費</t>
        </is>
      </c>
      <c r="E35" s="411" t="n"/>
      <c r="F35" s="654" t="n"/>
      <c r="G35" s="178" t="inlineStr">
        <is>
          <t>その他</t>
        </is>
      </c>
      <c r="H35" s="435" t="n"/>
      <c r="I35" s="745" t="n"/>
    </row>
    <row r="36" ht="18" customHeight="1" s="7" thickTop="1">
      <c r="A36" s="780" t="inlineStr">
        <is>
          <t>備考欄</t>
        </is>
      </c>
      <c r="I36" s="781" t="n"/>
    </row>
    <row r="37" ht="18.6" customHeight="1" s="7" thickBot="1">
      <c r="A37" s="782" t="n"/>
      <c r="B37" s="783" t="n"/>
      <c r="C37" s="783" t="n"/>
      <c r="D37" s="783" t="n"/>
      <c r="E37" s="783" t="n"/>
      <c r="F37" s="783" t="n"/>
      <c r="G37" s="783" t="n"/>
      <c r="H37" s="783" t="n"/>
      <c r="I37" s="784" t="n"/>
    </row>
    <row r="38">
      <c r="A38" s="16" t="n"/>
      <c r="B38" s="16" t="n"/>
      <c r="C38" s="16" t="n"/>
      <c r="D38" s="16" t="n"/>
      <c r="E38" s="16" t="n"/>
      <c r="F38" s="16" t="n"/>
      <c r="G38" s="16" t="n"/>
      <c r="H38" s="16" t="n"/>
      <c r="I38" s="160" t="n"/>
    </row>
  </sheetData>
  <sheetProtection selectLockedCells="0" selectUnlockedCells="0" sheet="1" objects="1" insertRows="1" insertHyperlinks="1" autoFilter="1" scenarios="1" formatColumns="1" deleteColumns="1" insertColumns="1" pivotTables="1" deleteRows="1" formatCells="1" formatRows="1" sort="1"/>
  <mergeCells count="77">
    <mergeCell ref="H35:I35"/>
    <mergeCell ref="A15:B15"/>
    <mergeCell ref="D31:E31"/>
    <mergeCell ref="D6:E6"/>
    <mergeCell ref="A7:B7"/>
    <mergeCell ref="A27:B27"/>
    <mergeCell ref="E34:F34"/>
    <mergeCell ref="D7:E7"/>
    <mergeCell ref="D4:E4"/>
    <mergeCell ref="A17:B17"/>
    <mergeCell ref="A22:B22"/>
    <mergeCell ref="B33:C33"/>
    <mergeCell ref="A19:B19"/>
    <mergeCell ref="A28:B28"/>
    <mergeCell ref="A9:B9"/>
    <mergeCell ref="B35:C35"/>
    <mergeCell ref="A30:B30"/>
    <mergeCell ref="G12:H12"/>
    <mergeCell ref="D10:E10"/>
    <mergeCell ref="A11:B11"/>
    <mergeCell ref="A26:I26"/>
    <mergeCell ref="H34:I34"/>
    <mergeCell ref="H25:I25"/>
    <mergeCell ref="D2:E2"/>
    <mergeCell ref="G7:H7"/>
    <mergeCell ref="D11:E11"/>
    <mergeCell ref="D9:E9"/>
    <mergeCell ref="A8:B8"/>
    <mergeCell ref="D29:E29"/>
    <mergeCell ref="A10:B10"/>
    <mergeCell ref="A1:I1"/>
    <mergeCell ref="H14:I14"/>
    <mergeCell ref="G9:H9"/>
    <mergeCell ref="A14:G14"/>
    <mergeCell ref="G2:H2"/>
    <mergeCell ref="G11:H11"/>
    <mergeCell ref="D27:E27"/>
    <mergeCell ref="A3:B3"/>
    <mergeCell ref="A12:B12"/>
    <mergeCell ref="A21:B21"/>
    <mergeCell ref="B34:C34"/>
    <mergeCell ref="A5:B5"/>
    <mergeCell ref="A32:B32"/>
    <mergeCell ref="D28:E28"/>
    <mergeCell ref="A23:B23"/>
    <mergeCell ref="D3:E3"/>
    <mergeCell ref="D12:E12"/>
    <mergeCell ref="D30:E30"/>
    <mergeCell ref="G32:H32"/>
    <mergeCell ref="D5:E5"/>
    <mergeCell ref="A24:B24"/>
    <mergeCell ref="E33:F33"/>
    <mergeCell ref="G27:H27"/>
    <mergeCell ref="G8:H8"/>
    <mergeCell ref="A6:B6"/>
    <mergeCell ref="E35:F35"/>
    <mergeCell ref="A16:B16"/>
    <mergeCell ref="A25:B25"/>
    <mergeCell ref="G10:H10"/>
    <mergeCell ref="D32:E32"/>
    <mergeCell ref="G28:H28"/>
    <mergeCell ref="G6:H6"/>
    <mergeCell ref="A18:B18"/>
    <mergeCell ref="G3:H3"/>
    <mergeCell ref="A36:I37"/>
    <mergeCell ref="A2:B2"/>
    <mergeCell ref="G30:H30"/>
    <mergeCell ref="A13:I13"/>
    <mergeCell ref="G5:H5"/>
    <mergeCell ref="G29:H29"/>
    <mergeCell ref="G4:H4"/>
    <mergeCell ref="A20:B20"/>
    <mergeCell ref="D8:E8"/>
    <mergeCell ref="A29:B29"/>
    <mergeCell ref="H33:I33"/>
    <mergeCell ref="G31:H31"/>
    <mergeCell ref="A31:B31"/>
  </mergeCells>
  <printOptions horizontalCentered="1"/>
  <pageMargins left="0.25" right="0.25" top="0.75" bottom="0.75" header="0.3" footer="0.3"/>
  <pageSetup orientation="portrait" paperSize="9" fitToWidth="0"/>
  <legacyDrawing xmlns:r="http://schemas.openxmlformats.org/officeDocument/2006/relationships" r:id="anysvml"/>
</worksheet>
</file>

<file path=xl/worksheets/sheet3.xml><?xml version="1.0" encoding="utf-8"?>
<worksheet xmlns="http://schemas.openxmlformats.org/spreadsheetml/2006/main">
  <sheetPr codeName="Sheet1">
    <outlinePr summaryBelow="1" summaryRight="1"/>
    <pageSetUpPr fitToPage="1"/>
  </sheetPr>
  <dimension ref="A1:Q40"/>
  <sheetViews>
    <sheetView showGridLines="0" view="pageBreakPreview" zoomScale="90" zoomScaleNormal="100" zoomScaleSheetLayoutView="90" workbookViewId="0">
      <selection activeCell="K8" sqref="K8:N8"/>
    </sheetView>
  </sheetViews>
  <sheetFormatPr baseColWidth="8" defaultColWidth="5.59765625" defaultRowHeight="30" customHeight="1"/>
  <cols>
    <col width="5.59765625" customWidth="1" style="7" min="1" max="1"/>
    <col width="5.59765625" customWidth="1" style="7" min="3" max="3"/>
    <col width="6.296875" customWidth="1" style="7" min="4" max="4"/>
    <col width="8.09765625" customWidth="1" style="7" min="7" max="7"/>
    <col width="5.19921875" customWidth="1" style="7" min="8" max="8"/>
    <col width="7.59765625" customWidth="1" style="7" min="9" max="10"/>
    <col width="9.5" customWidth="1" style="7" min="11" max="11"/>
    <col width="15.5" customWidth="1" style="7" min="13" max="13"/>
    <col width="13.296875" customWidth="1" style="7" min="14" max="14"/>
  </cols>
  <sheetData>
    <row r="1" ht="24" customHeight="1" s="7">
      <c r="A1" s="495" t="inlineStr">
        <is>
          <t>御　見　積　書</t>
        </is>
      </c>
      <c r="B1" s="179" t="n"/>
      <c r="C1" s="179" t="n"/>
      <c r="D1" s="179" t="n"/>
      <c r="E1" s="179" t="n"/>
      <c r="F1" s="179" t="n"/>
      <c r="G1" s="179" t="n"/>
      <c r="H1" s="179" t="n"/>
      <c r="I1" s="179" t="n"/>
      <c r="J1" s="179" t="n"/>
      <c r="K1" s="179" t="n"/>
      <c r="L1" s="179" t="n"/>
      <c r="M1" s="179" t="n"/>
      <c r="N1" s="179" t="n"/>
    </row>
    <row r="2" ht="21" customHeight="1" s="7">
      <c r="A2" s="213" t="n"/>
      <c r="B2" s="213" t="n"/>
      <c r="C2" s="213" t="n"/>
      <c r="D2" s="213" t="n"/>
      <c r="E2" s="213" t="n"/>
      <c r="F2" s="213" t="n"/>
      <c r="G2" s="213" t="n"/>
      <c r="H2" s="213" t="n"/>
      <c r="I2" s="213" t="n"/>
      <c r="J2" s="213" t="n"/>
      <c r="K2" s="213" t="n"/>
      <c r="L2" s="213" t="n"/>
      <c r="M2" s="235" t="inlineStr">
        <is>
          <t>作成日：</t>
        </is>
      </c>
      <c r="N2" s="230">
        <f>TODAY()</f>
        <v/>
      </c>
    </row>
    <row r="3" ht="22.5" customHeight="1" s="7">
      <c r="A3" s="517">
        <f>IF(
    OR(
        ISNUMBER(SEARCH("株式会社", 物件概要!C1)),
        ISNUMBER(SEARCH("合同会社", 物件概要!C1)),
        ISNUMBER(SEARCH("有限会社", 物件概要!C1))
    ),
    物件概要!C1 &amp; " 御中",
    物件概要!C1 &amp; " 様"
)</f>
        <v/>
      </c>
      <c r="B3" s="556" t="n"/>
      <c r="C3" s="556" t="n"/>
      <c r="D3" s="556" t="n"/>
      <c r="E3" s="556" t="n"/>
      <c r="F3" s="556" t="n"/>
      <c r="G3" s="556" t="n"/>
      <c r="H3" s="516" t="n"/>
      <c r="I3" s="179" t="n"/>
      <c r="J3" s="213" t="n"/>
      <c r="K3" s="244" t="n"/>
      <c r="L3" s="244" t="n"/>
      <c r="M3" s="244" t="n"/>
      <c r="N3" s="244" t="n"/>
    </row>
    <row r="4" ht="27" customHeight="1" s="7">
      <c r="A4" s="213" t="n"/>
      <c r="B4" s="214" t="inlineStr">
        <is>
          <t>住所：</t>
        </is>
      </c>
      <c r="C4" s="519">
        <f>物件概要!C3</f>
        <v/>
      </c>
      <c r="D4" s="785" t="n"/>
      <c r="E4" s="785" t="n"/>
      <c r="F4" s="785" t="n"/>
      <c r="G4" s="785" t="n"/>
      <c r="H4" s="213" t="n"/>
      <c r="I4" s="213" t="n"/>
      <c r="J4" s="213" t="n"/>
      <c r="K4" s="497" t="inlineStr">
        <is>
          <t>Renovation Shop りほむる</t>
        </is>
      </c>
      <c r="L4" s="179" t="n"/>
      <c r="M4" s="179" t="n"/>
      <c r="N4" s="179" t="n"/>
    </row>
    <row r="5" ht="21" customHeight="1" s="7" thickBot="1">
      <c r="A5" s="528" t="inlineStr">
        <is>
          <t>件名：</t>
        </is>
      </c>
      <c r="B5" s="786" t="n"/>
      <c r="C5" s="523">
        <f>物件概要!C4</f>
        <v/>
      </c>
      <c r="D5" s="786" t="n"/>
      <c r="E5" s="786" t="n"/>
      <c r="F5" s="786" t="n"/>
      <c r="G5" s="786" t="n"/>
      <c r="H5" s="786" t="n"/>
      <c r="I5" s="786" t="n"/>
      <c r="J5" s="213" t="n"/>
      <c r="K5" s="526" t="inlineStr">
        <is>
          <t>神奈川県知事 許可（般- 6）第 92760 号</t>
        </is>
      </c>
    </row>
    <row r="6" ht="20.1" customHeight="1" s="7" thickTop="1">
      <c r="A6" s="213" t="n"/>
      <c r="B6" s="215" t="inlineStr">
        <is>
          <t>有効期限：</t>
        </is>
      </c>
      <c r="C6" s="215" t="n"/>
      <c r="D6" s="527">
        <f>EDATE(N2,1)</f>
        <v/>
      </c>
      <c r="E6" s="787" t="n"/>
      <c r="F6" s="215" t="n"/>
      <c r="G6" s="215" t="n"/>
      <c r="H6" s="215" t="n"/>
      <c r="I6" s="215" t="n"/>
      <c r="J6" s="215" t="n"/>
      <c r="K6" s="529" t="inlineStr">
        <is>
          <t>代表　藤原　祐二</t>
        </is>
      </c>
    </row>
    <row r="7" ht="15" customHeight="1" s="7">
      <c r="A7" s="213" t="n"/>
      <c r="B7" s="215" t="inlineStr">
        <is>
          <t>工事期間：</t>
        </is>
      </c>
      <c r="C7" s="213" t="n"/>
      <c r="D7" s="216">
        <f>物件概要!C2</f>
        <v/>
      </c>
      <c r="E7" s="215" t="inlineStr">
        <is>
          <t>ヵ月</t>
        </is>
      </c>
      <c r="F7" s="215" t="n"/>
      <c r="G7" s="215" t="n"/>
      <c r="H7" s="215" t="n"/>
      <c r="I7" s="215" t="n"/>
      <c r="J7" s="213" t="n"/>
      <c r="K7" s="513" t="inlineStr">
        <is>
          <t>神奈川県川崎市多摩区南生田５－２－５１F２</t>
        </is>
      </c>
      <c r="L7" s="179" t="n"/>
      <c r="M7" s="179" t="n"/>
      <c r="N7" s="179" t="n"/>
      <c r="O7" s="1" t="n"/>
    </row>
    <row r="8" ht="15" customHeight="1" s="7">
      <c r="A8" s="213" t="n"/>
      <c r="B8" s="530" t="inlineStr">
        <is>
          <t>本工事は天候および材料納期等の影響により、工期・工程に変更が生じる場合があります。</t>
        </is>
      </c>
      <c r="C8" s="179" t="n"/>
      <c r="D8" s="179" t="n"/>
      <c r="E8" s="179" t="n"/>
      <c r="F8" s="179" t="n"/>
      <c r="G8" s="179" t="n"/>
      <c r="H8" s="179" t="n"/>
      <c r="I8" s="179" t="n"/>
      <c r="J8" s="213" t="n"/>
      <c r="K8" s="513" t="inlineStr">
        <is>
          <t>TEL ０４４-４００-０５７０</t>
        </is>
      </c>
      <c r="L8" s="179" t="n"/>
      <c r="M8" s="179" t="n"/>
      <c r="N8" s="179" t="n"/>
    </row>
    <row r="9" ht="15" customHeight="1" s="7">
      <c r="A9" s="217" t="n"/>
      <c r="B9" s="217" t="n"/>
      <c r="C9" s="217" t="n"/>
      <c r="D9" s="217" t="n"/>
      <c r="E9" s="217" t="n"/>
      <c r="F9" s="217" t="n"/>
      <c r="G9" s="217" t="n"/>
      <c r="H9" s="217" t="n"/>
      <c r="I9" s="217" t="n"/>
      <c r="J9" s="217" t="n"/>
      <c r="K9" s="513" t="inlineStr">
        <is>
          <t>FAX ０４４-４００-０５７１</t>
        </is>
      </c>
      <c r="L9" s="179" t="n"/>
      <c r="M9" s="179" t="n"/>
      <c r="N9" s="179" t="n"/>
    </row>
    <row r="10" ht="22.8" customHeight="1" s="7" thickBot="1">
      <c r="A10" s="506" t="inlineStr">
        <is>
          <t>合計金額</t>
        </is>
      </c>
      <c r="B10" s="788" t="n"/>
      <c r="C10" s="788" t="n"/>
      <c r="D10" s="789">
        <f>L30</f>
        <v/>
      </c>
      <c r="E10" s="790" t="n"/>
      <c r="F10" s="790" t="n"/>
      <c r="G10" s="790" t="n"/>
      <c r="H10" s="791" t="inlineStr">
        <is>
          <t>（税込</t>
        </is>
      </c>
      <c r="I10" s="792">
        <f>L32</f>
        <v/>
      </c>
      <c r="K10" s="793" t="inlineStr">
        <is>
          <t>)</t>
        </is>
      </c>
      <c r="L10" s="498" t="n"/>
      <c r="M10" s="179" t="n"/>
      <c r="N10" s="179" t="n"/>
    </row>
    <row r="11" ht="17.55" customHeight="1" s="7" thickTop="1">
      <c r="A11" s="217" t="n"/>
      <c r="B11" s="217" t="n"/>
      <c r="C11" s="217" t="n"/>
      <c r="D11" s="217" t="n"/>
      <c r="E11" s="217" t="n"/>
      <c r="F11" s="217" t="n"/>
      <c r="G11" s="217" t="n"/>
      <c r="H11" s="217" t="n"/>
      <c r="I11" s="217" t="n"/>
      <c r="J11" s="217" t="n"/>
      <c r="K11" s="217" t="n"/>
      <c r="L11" s="217" t="n"/>
      <c r="M11" s="217" t="n"/>
      <c r="N11" s="217" t="n"/>
    </row>
    <row r="12" ht="31.95" customHeight="1" s="7">
      <c r="A12" s="521" t="inlineStr">
        <is>
          <t>名称</t>
        </is>
      </c>
      <c r="B12" s="794" t="n"/>
      <c r="C12" s="794" t="n"/>
      <c r="D12" s="795" t="n"/>
      <c r="E12" s="522" t="inlineStr">
        <is>
          <t>工事名</t>
        </is>
      </c>
      <c r="F12" s="796" t="n"/>
      <c r="G12" s="796" t="n"/>
      <c r="H12" s="796" t="n"/>
      <c r="I12" s="796" t="n"/>
      <c r="J12" s="797" t="n"/>
      <c r="K12" s="522" t="inlineStr">
        <is>
          <t>数量</t>
        </is>
      </c>
      <c r="L12" s="522" t="inlineStr">
        <is>
          <t>単位</t>
        </is>
      </c>
      <c r="M12" s="522" t="inlineStr">
        <is>
          <t>単価</t>
        </is>
      </c>
      <c r="N12" s="237" t="inlineStr">
        <is>
          <t>金額</t>
        </is>
      </c>
    </row>
    <row r="13" ht="25.05" customHeight="1" s="7">
      <c r="A13" s="524" t="n"/>
      <c r="B13" s="798" t="n"/>
      <c r="C13" s="798" t="n"/>
      <c r="D13" s="799" t="n"/>
      <c r="E13" s="525" t="n"/>
      <c r="F13" s="798" t="n"/>
      <c r="G13" s="798" t="n"/>
      <c r="H13" s="798" t="n"/>
      <c r="I13" s="798" t="n"/>
      <c r="J13" s="799" t="n"/>
      <c r="K13" s="525" t="n"/>
      <c r="L13" s="525" t="n"/>
      <c r="M13" s="800" t="n"/>
      <c r="N13" s="801">
        <f>IF(OR(K13="",K13=0,M13=""),"",K13*M13)</f>
        <v/>
      </c>
    </row>
    <row r="14" ht="25.05" customHeight="1" s="7">
      <c r="A14" s="510" t="n"/>
      <c r="B14" s="802" t="n"/>
      <c r="C14" s="802" t="n"/>
      <c r="D14" s="651" t="n"/>
      <c r="E14" s="499" t="n"/>
      <c r="F14" s="802" t="n"/>
      <c r="G14" s="802" t="n"/>
      <c r="H14" s="802" t="n"/>
      <c r="I14" s="802" t="n"/>
      <c r="J14" s="651" t="n"/>
      <c r="K14" s="499" t="n"/>
      <c r="L14" s="499" t="n"/>
      <c r="M14" s="803" t="n"/>
      <c r="N14" s="804">
        <f>IF(OR(K14="",K14=0,M14=""),"",K14*M14)</f>
        <v/>
      </c>
    </row>
    <row r="15" ht="25.05" customHeight="1" s="7">
      <c r="A15" s="507" t="n"/>
      <c r="B15" s="802" t="n"/>
      <c r="C15" s="802" t="n"/>
      <c r="D15" s="651" t="n"/>
      <c r="E15" s="496" t="n"/>
      <c r="F15" s="802" t="n"/>
      <c r="G15" s="802" t="n"/>
      <c r="H15" s="802" t="n"/>
      <c r="I15" s="802" t="n"/>
      <c r="J15" s="651" t="n"/>
      <c r="K15" s="496" t="n"/>
      <c r="L15" s="496" t="n"/>
      <c r="M15" s="805" t="n"/>
      <c r="N15" s="806">
        <f>IF(OR(K15="",K15=0,M15=""),"",K15*M15)</f>
        <v/>
      </c>
    </row>
    <row r="16" ht="25.05" customHeight="1" s="7">
      <c r="A16" s="510" t="n"/>
      <c r="B16" s="802" t="n"/>
      <c r="C16" s="802" t="n"/>
      <c r="D16" s="651" t="n"/>
      <c r="E16" s="499" t="n"/>
      <c r="F16" s="802" t="n"/>
      <c r="G16" s="802" t="n"/>
      <c r="H16" s="802" t="n"/>
      <c r="I16" s="802" t="n"/>
      <c r="J16" s="651" t="n"/>
      <c r="K16" s="499" t="n"/>
      <c r="L16" s="499" t="n"/>
      <c r="M16" s="803" t="n"/>
      <c r="N16" s="804">
        <f>IF(OR(K16="",K16=0,M16=""),"",K16*M16)</f>
        <v/>
      </c>
    </row>
    <row r="17" ht="25.05" customHeight="1" s="7">
      <c r="A17" s="507" t="n"/>
      <c r="B17" s="802" t="n"/>
      <c r="C17" s="802" t="n"/>
      <c r="D17" s="651" t="n"/>
      <c r="E17" s="496" t="n"/>
      <c r="F17" s="802" t="n"/>
      <c r="G17" s="802" t="n"/>
      <c r="H17" s="802" t="n"/>
      <c r="I17" s="802" t="n"/>
      <c r="J17" s="651" t="n"/>
      <c r="K17" s="496" t="n"/>
      <c r="L17" s="496" t="n"/>
      <c r="M17" s="805" t="n"/>
      <c r="N17" s="806">
        <f>IF(OR(K17="",K17=0,M17=""),"",K17*M17)</f>
        <v/>
      </c>
    </row>
    <row r="18" ht="25.05" customHeight="1" s="7">
      <c r="A18" s="510" t="n"/>
      <c r="B18" s="802" t="n"/>
      <c r="C18" s="802" t="n"/>
      <c r="D18" s="651" t="n"/>
      <c r="E18" s="499" t="n"/>
      <c r="F18" s="802" t="n"/>
      <c r="G18" s="802" t="n"/>
      <c r="H18" s="802" t="n"/>
      <c r="I18" s="802" t="n"/>
      <c r="J18" s="651" t="n"/>
      <c r="K18" s="499" t="n"/>
      <c r="L18" s="499" t="n"/>
      <c r="M18" s="803" t="n"/>
      <c r="N18" s="804">
        <f>IF(OR(K18="",K18=0,M18=""),"",K18*M18)</f>
        <v/>
      </c>
      <c r="Q18" s="1" t="n"/>
    </row>
    <row r="19" ht="25.05" customHeight="1" s="7">
      <c r="A19" s="507" t="n"/>
      <c r="B19" s="802" t="n"/>
      <c r="C19" s="802" t="n"/>
      <c r="D19" s="651" t="n"/>
      <c r="E19" s="496" t="n"/>
      <c r="F19" s="802" t="n"/>
      <c r="G19" s="802" t="n"/>
      <c r="H19" s="802" t="n"/>
      <c r="I19" s="802" t="n"/>
      <c r="J19" s="651" t="n"/>
      <c r="K19" s="496" t="n"/>
      <c r="L19" s="496" t="n"/>
      <c r="M19" s="805" t="n"/>
      <c r="N19" s="806">
        <f>IF(OR(K19="",K19=0,M19=""),"",K19*M19)</f>
        <v/>
      </c>
      <c r="Q19" s="1" t="n"/>
    </row>
    <row r="20" ht="25.05" customHeight="1" s="7">
      <c r="A20" s="510" t="n"/>
      <c r="B20" s="802" t="n"/>
      <c r="C20" s="802" t="n"/>
      <c r="D20" s="651" t="n"/>
      <c r="E20" s="499" t="n"/>
      <c r="F20" s="802" t="n"/>
      <c r="G20" s="802" t="n"/>
      <c r="H20" s="802" t="n"/>
      <c r="I20" s="802" t="n"/>
      <c r="J20" s="651" t="n"/>
      <c r="K20" s="499" t="n"/>
      <c r="L20" s="499" t="n"/>
      <c r="M20" s="803" t="n"/>
      <c r="N20" s="804">
        <f>IF(OR(K20="",K20=0,M20=""),"",K20*M20)</f>
        <v/>
      </c>
      <c r="Q20" s="1" t="n"/>
    </row>
    <row r="21" ht="25.05" customHeight="1" s="7">
      <c r="A21" s="507" t="n"/>
      <c r="B21" s="802" t="n"/>
      <c r="C21" s="802" t="n"/>
      <c r="D21" s="651" t="n"/>
      <c r="E21" s="496" t="n"/>
      <c r="F21" s="802" t="n"/>
      <c r="G21" s="802" t="n"/>
      <c r="H21" s="802" t="n"/>
      <c r="I21" s="802" t="n"/>
      <c r="J21" s="651" t="n"/>
      <c r="K21" s="496" t="n"/>
      <c r="L21" s="496" t="n"/>
      <c r="M21" s="805" t="n"/>
      <c r="N21" s="806">
        <f>IF(OR(K21="",K21=0,M21=""),"",K21*M21)</f>
        <v/>
      </c>
    </row>
    <row r="22" ht="25.05" customHeight="1" s="7">
      <c r="A22" s="510" t="n"/>
      <c r="B22" s="802" t="n"/>
      <c r="C22" s="802" t="n"/>
      <c r="D22" s="651" t="n"/>
      <c r="E22" s="499" t="n"/>
      <c r="F22" s="802" t="n"/>
      <c r="G22" s="802" t="n"/>
      <c r="H22" s="802" t="n"/>
      <c r="I22" s="802" t="n"/>
      <c r="J22" s="651" t="n"/>
      <c r="K22" s="499" t="n"/>
      <c r="L22" s="499" t="n"/>
      <c r="M22" s="803" t="n"/>
      <c r="N22" s="804">
        <f>IF(OR(K22="",K22=0,M22=""),"",K22*M22)</f>
        <v/>
      </c>
    </row>
    <row r="23" ht="25.05" customHeight="1" s="7">
      <c r="A23" s="507" t="n"/>
      <c r="B23" s="802" t="n"/>
      <c r="C23" s="802" t="n"/>
      <c r="D23" s="651" t="n"/>
      <c r="E23" s="496" t="n"/>
      <c r="F23" s="802" t="n"/>
      <c r="G23" s="802" t="n"/>
      <c r="H23" s="802" t="n"/>
      <c r="I23" s="802" t="n"/>
      <c r="J23" s="651" t="n"/>
      <c r="K23" s="496" t="n"/>
      <c r="L23" s="496" t="n"/>
      <c r="M23" s="805" t="n"/>
      <c r="N23" s="806">
        <f>IF(OR(K23="",K23=0,M23=""),"",K23*M23)</f>
        <v/>
      </c>
    </row>
    <row r="24" ht="25.05" customHeight="1" s="7">
      <c r="A24" s="510" t="n"/>
      <c r="B24" s="802" t="n"/>
      <c r="C24" s="802" t="n"/>
      <c r="D24" s="651" t="n"/>
      <c r="E24" s="499" t="n"/>
      <c r="F24" s="802" t="n"/>
      <c r="G24" s="802" t="n"/>
      <c r="H24" s="802" t="n"/>
      <c r="I24" s="802" t="n"/>
      <c r="J24" s="651" t="n"/>
      <c r="K24" s="499" t="n"/>
      <c r="L24" s="499" t="n"/>
      <c r="M24" s="803" t="n"/>
      <c r="N24" s="804">
        <f>IF(OR(K24="",K24=0,M24=""),"",K24*M24)</f>
        <v/>
      </c>
    </row>
    <row r="25" ht="25.05" customHeight="1" s="7">
      <c r="A25" s="507" t="n"/>
      <c r="B25" s="802" t="n"/>
      <c r="C25" s="802" t="n"/>
      <c r="D25" s="651" t="n"/>
      <c r="E25" s="496" t="n"/>
      <c r="F25" s="802" t="n"/>
      <c r="G25" s="802" t="n"/>
      <c r="H25" s="802" t="n"/>
      <c r="I25" s="802" t="n"/>
      <c r="J25" s="651" t="n"/>
      <c r="K25" s="496" t="n"/>
      <c r="L25" s="496" t="n"/>
      <c r="M25" s="805" t="n"/>
      <c r="N25" s="806">
        <f>IF(OR(K25="",K25=0,M25=""),"",K25*M25)</f>
        <v/>
      </c>
    </row>
    <row r="26" ht="25.05" customHeight="1" s="7">
      <c r="A26" s="510" t="n"/>
      <c r="B26" s="802" t="n"/>
      <c r="C26" s="802" t="n"/>
      <c r="D26" s="651" t="n"/>
      <c r="E26" s="499" t="n"/>
      <c r="F26" s="802" t="n"/>
      <c r="G26" s="802" t="n"/>
      <c r="H26" s="802" t="n"/>
      <c r="I26" s="802" t="n"/>
      <c r="J26" s="651" t="n"/>
      <c r="K26" s="499" t="n"/>
      <c r="L26" s="499" t="n"/>
      <c r="M26" s="803" t="n"/>
      <c r="N26" s="804">
        <f>IF(OR(K26="",K26=0,M26=""),"",K26*M26)</f>
        <v/>
      </c>
    </row>
    <row r="27" ht="25.05" customHeight="1" s="7">
      <c r="A27" s="507" t="n"/>
      <c r="B27" s="802" t="n"/>
      <c r="C27" s="802" t="n"/>
      <c r="D27" s="651" t="n"/>
      <c r="E27" s="496" t="n"/>
      <c r="F27" s="802" t="n"/>
      <c r="G27" s="802" t="n"/>
      <c r="H27" s="802" t="n"/>
      <c r="I27" s="802" t="n"/>
      <c r="J27" s="651" t="n"/>
      <c r="K27" s="496" t="n"/>
      <c r="L27" s="496" t="n"/>
      <c r="M27" s="805" t="n"/>
      <c r="N27" s="806">
        <f>IF(OR(K27="",K27=0,M27=""),"",K27*M27)</f>
        <v/>
      </c>
    </row>
    <row r="28" ht="25.05" customHeight="1" s="7">
      <c r="A28" s="510" t="n"/>
      <c r="B28" s="802" t="n"/>
      <c r="C28" s="802" t="n"/>
      <c r="D28" s="651" t="n"/>
      <c r="E28" s="499" t="n"/>
      <c r="F28" s="802" t="n"/>
      <c r="G28" s="802" t="n"/>
      <c r="H28" s="802" t="n"/>
      <c r="I28" s="802" t="n"/>
      <c r="J28" s="651" t="n"/>
      <c r="K28" s="499" t="n"/>
      <c r="L28" s="499" t="n"/>
      <c r="M28" s="803" t="n"/>
      <c r="N28" s="804">
        <f>IF(OR(K28="",K28=0,M28=""),"",K28*M28)</f>
        <v/>
      </c>
    </row>
    <row r="29" ht="25.05" customHeight="1" s="7">
      <c r="A29" s="534" t="n"/>
      <c r="B29" s="807" t="n"/>
      <c r="C29" s="807" t="n"/>
      <c r="D29" s="808" t="n"/>
      <c r="E29" s="531" t="n"/>
      <c r="F29" s="809" t="n"/>
      <c r="G29" s="809" t="n"/>
      <c r="H29" s="809" t="n"/>
      <c r="I29" s="809" t="n"/>
      <c r="J29" s="810" t="n"/>
      <c r="K29" s="531" t="n"/>
      <c r="L29" s="531" t="n"/>
      <c r="M29" s="811" t="n"/>
      <c r="N29" s="812">
        <f>IF(OR(K29="",K29=0,M29=""),"",K29*M29)</f>
        <v/>
      </c>
    </row>
    <row r="30" ht="20.1" customHeight="1" s="7">
      <c r="A30" s="227" t="n"/>
      <c r="B30" s="227" t="n"/>
      <c r="C30" s="227" t="n"/>
      <c r="D30" s="227" t="n"/>
      <c r="E30" s="227" t="n"/>
      <c r="F30" s="227" t="n"/>
      <c r="G30" s="227" t="n"/>
      <c r="H30" s="227" t="n"/>
      <c r="I30" s="227" t="n"/>
      <c r="J30" s="227" t="n"/>
      <c r="K30" s="813" t="inlineStr">
        <is>
          <t>小計</t>
        </is>
      </c>
      <c r="L30" s="814">
        <f>SUM(N13:N33)</f>
        <v/>
      </c>
      <c r="M30" s="744" t="n"/>
      <c r="N30" s="745" t="n"/>
    </row>
    <row r="31" ht="20.1" customHeight="1" s="7">
      <c r="A31" s="537" t="n"/>
      <c r="B31" s="229" t="n"/>
      <c r="C31" s="537" t="n"/>
      <c r="D31" s="537" t="n"/>
      <c r="E31" s="537" t="n"/>
      <c r="F31" s="537" t="n"/>
      <c r="G31" s="537" t="n"/>
      <c r="H31" s="537" t="n"/>
      <c r="I31" s="537" t="n"/>
      <c r="J31" s="537" t="n"/>
      <c r="K31" s="815" t="inlineStr">
        <is>
          <t>消費税</t>
        </is>
      </c>
      <c r="L31" s="816">
        <f>ROUND(L30*0.1,0)</f>
        <v/>
      </c>
      <c r="M31" s="717" t="n"/>
      <c r="N31" s="648" t="n"/>
    </row>
    <row r="32" ht="19.95" customHeight="1" s="7">
      <c r="A32" s="537" t="n"/>
      <c r="B32" s="537" t="n"/>
      <c r="C32" s="179" t="n"/>
      <c r="D32" s="179" t="n"/>
      <c r="E32" s="179" t="n"/>
      <c r="F32" s="179" t="n"/>
      <c r="G32" s="537" t="n"/>
      <c r="H32" s="537" t="n"/>
      <c r="I32" s="537" t="n"/>
      <c r="J32" s="537" t="n"/>
      <c r="K32" s="817" t="inlineStr">
        <is>
          <t>合計</t>
        </is>
      </c>
      <c r="L32" s="818">
        <f>L31+L30</f>
        <v/>
      </c>
      <c r="M32" s="768" t="n"/>
      <c r="N32" s="769" t="n"/>
    </row>
    <row r="33" ht="20.1" customHeight="1" s="7">
      <c r="A33" s="537" t="n"/>
      <c r="B33" s="537" t="n"/>
      <c r="C33" s="179" t="n"/>
      <c r="D33" s="179" t="n"/>
      <c r="E33" s="179" t="n"/>
      <c r="F33" s="179" t="n"/>
      <c r="G33" s="537" t="n"/>
      <c r="H33" s="537" t="n"/>
      <c r="I33" s="537" t="n"/>
      <c r="J33" s="537" t="n"/>
      <c r="K33" s="537" t="n"/>
      <c r="L33" s="537" t="n"/>
      <c r="M33" s="537" t="n"/>
      <c r="N33" s="537" t="n"/>
    </row>
    <row r="34" ht="20.1" customHeight="1" s="7">
      <c r="A34" s="500" t="inlineStr">
        <is>
          <t>備考欄</t>
        </is>
      </c>
      <c r="B34" s="819" t="n"/>
      <c r="C34" s="535" t="n"/>
      <c r="D34" s="820" t="n"/>
      <c r="E34" s="820" t="n"/>
      <c r="F34" s="820" t="n"/>
      <c r="G34" s="820" t="n"/>
      <c r="H34" s="820" t="n"/>
      <c r="I34" s="820" t="n"/>
      <c r="J34" s="820" t="n"/>
      <c r="K34" s="820" t="n"/>
      <c r="L34" s="820" t="n"/>
      <c r="M34" s="820" t="n"/>
      <c r="N34" s="821" t="n"/>
    </row>
    <row r="35" ht="20.1" customHeight="1" s="7">
      <c r="A35" s="822" t="n"/>
      <c r="B35" s="823" t="n"/>
      <c r="C35" s="532" t="n"/>
      <c r="D35" s="802" t="n"/>
      <c r="E35" s="802" t="n"/>
      <c r="F35" s="802" t="n"/>
      <c r="G35" s="802" t="n"/>
      <c r="H35" s="802" t="n"/>
      <c r="I35" s="802" t="n"/>
      <c r="J35" s="802" t="n"/>
      <c r="K35" s="802" t="n"/>
      <c r="L35" s="802" t="n"/>
      <c r="M35" s="802" t="n"/>
      <c r="N35" s="651" t="n"/>
    </row>
    <row r="36" ht="20.1" customFormat="1" customHeight="1" s="1">
      <c r="A36" s="822" t="n"/>
      <c r="B36" s="823" t="n"/>
      <c r="C36" s="493" t="n"/>
      <c r="D36" s="802" t="n"/>
      <c r="E36" s="802" t="n"/>
      <c r="F36" s="802" t="n"/>
      <c r="G36" s="802" t="n"/>
      <c r="H36" s="802" t="n"/>
      <c r="I36" s="802" t="n"/>
      <c r="J36" s="802" t="n"/>
      <c r="K36" s="802" t="n"/>
      <c r="L36" s="802" t="n"/>
      <c r="M36" s="802" t="n"/>
      <c r="N36" s="651" t="n"/>
      <c r="Q36" s="0" t="n"/>
    </row>
    <row r="37" ht="20.1" customFormat="1" customHeight="1" s="1">
      <c r="A37" s="824" t="n"/>
      <c r="B37" s="799" t="n"/>
      <c r="C37" s="511" t="n"/>
      <c r="D37" s="809" t="n"/>
      <c r="E37" s="809" t="n"/>
      <c r="F37" s="809" t="n"/>
      <c r="G37" s="809" t="n"/>
      <c r="H37" s="809" t="n"/>
      <c r="I37" s="809" t="n"/>
      <c r="J37" s="809" t="n"/>
      <c r="K37" s="809" t="n"/>
      <c r="L37" s="809" t="n"/>
      <c r="M37" s="809" t="n"/>
      <c r="N37" s="810" t="n"/>
      <c r="Q37" s="0" t="n"/>
    </row>
    <row r="38" ht="20.1" customFormat="1" customHeight="1" s="1">
      <c r="Q38" s="0" t="n"/>
    </row>
    <row r="39" ht="19.8" customHeight="1" s="7">
      <c r="A39" s="1" t="n"/>
      <c r="B39" s="1" t="n"/>
      <c r="C39" s="1" t="n"/>
      <c r="D39" s="1" t="n"/>
      <c r="E39" s="1" t="n"/>
      <c r="F39" s="1" t="n"/>
      <c r="G39" s="1" t="n"/>
      <c r="H39" s="1" t="n"/>
      <c r="I39" s="1" t="n"/>
      <c r="J39" s="1" t="n"/>
      <c r="K39" s="1" t="n"/>
      <c r="L39" s="1" t="n"/>
      <c r="M39" s="1" t="n"/>
      <c r="N39" s="1" t="n"/>
    </row>
    <row r="40" ht="19.8" customHeight="1" s="7">
      <c r="A40" s="1" t="n"/>
      <c r="B40" s="1" t="n"/>
      <c r="C40" s="1" t="n"/>
      <c r="D40" s="1" t="n"/>
      <c r="E40" s="1" t="n"/>
      <c r="F40" s="1" t="n"/>
      <c r="G40" s="1" t="n"/>
      <c r="H40" s="1" t="n"/>
      <c r="I40" s="1" t="n"/>
      <c r="J40" s="1" t="n"/>
      <c r="K40" s="1" t="n"/>
      <c r="L40" s="1" t="n"/>
      <c r="M40" s="1" t="n"/>
      <c r="N40" s="1" t="n"/>
    </row>
  </sheetData>
  <sheetProtection selectLockedCells="0" selectUnlockedCells="0" sheet="1" objects="1" insertRows="1" insertHyperlinks="1" autoFilter="1" scenarios="1" formatColumns="1" deleteColumns="1" insertColumns="1" pivotTables="1" deleteRows="1" formatCells="1" formatRows="1" sort="1"/>
  <mergeCells count="64">
    <mergeCell ref="A23:D23"/>
    <mergeCell ref="E19:J19"/>
    <mergeCell ref="A17:D17"/>
    <mergeCell ref="E28:J28"/>
    <mergeCell ref="A22:D22"/>
    <mergeCell ref="E13:J13"/>
    <mergeCell ref="A20:D20"/>
    <mergeCell ref="A29:D29"/>
    <mergeCell ref="L30:N30"/>
    <mergeCell ref="K7:N7"/>
    <mergeCell ref="A19:D19"/>
    <mergeCell ref="A28:D28"/>
    <mergeCell ref="A13:D13"/>
    <mergeCell ref="E15:J15"/>
    <mergeCell ref="A1:N1"/>
    <mergeCell ref="D6:E6"/>
    <mergeCell ref="K6:N6"/>
    <mergeCell ref="C4:G4"/>
    <mergeCell ref="K4:N4"/>
    <mergeCell ref="L10:N10"/>
    <mergeCell ref="E27:J27"/>
    <mergeCell ref="C36:N36"/>
    <mergeCell ref="A15:D15"/>
    <mergeCell ref="L31:N31"/>
    <mergeCell ref="A24:D24"/>
    <mergeCell ref="E26:J26"/>
    <mergeCell ref="D10:G10"/>
    <mergeCell ref="K9:N9"/>
    <mergeCell ref="B8:I8"/>
    <mergeCell ref="K5:N5"/>
    <mergeCell ref="C5:I5"/>
    <mergeCell ref="E25:J25"/>
    <mergeCell ref="A10:C10"/>
    <mergeCell ref="E29:J29"/>
    <mergeCell ref="E16:J16"/>
    <mergeCell ref="A34:B37"/>
    <mergeCell ref="E22:J22"/>
    <mergeCell ref="C37:N37"/>
    <mergeCell ref="A5:B5"/>
    <mergeCell ref="E18:J18"/>
    <mergeCell ref="A25:D25"/>
    <mergeCell ref="A16:D16"/>
    <mergeCell ref="E12:J12"/>
    <mergeCell ref="E21:J21"/>
    <mergeCell ref="C34:N34"/>
    <mergeCell ref="H3:I3"/>
    <mergeCell ref="A18:D18"/>
    <mergeCell ref="A27:D27"/>
    <mergeCell ref="L32:N32"/>
    <mergeCell ref="E24:J24"/>
    <mergeCell ref="A3:G3"/>
    <mergeCell ref="B33:F33"/>
    <mergeCell ref="I10:J10"/>
    <mergeCell ref="E14:J14"/>
    <mergeCell ref="A26:D26"/>
    <mergeCell ref="E23:J23"/>
    <mergeCell ref="A12:D12"/>
    <mergeCell ref="A21:D21"/>
    <mergeCell ref="E17:J17"/>
    <mergeCell ref="K8:N8"/>
    <mergeCell ref="B32:F32"/>
    <mergeCell ref="E20:J20"/>
    <mergeCell ref="C35:N35"/>
    <mergeCell ref="A14:D14"/>
  </mergeCells>
  <dataValidations count="4">
    <dataValidation sqref="A12:D12" showDropDown="0" showInputMessage="1" showErrorMessage="1" allowBlank="1" type="list">
      <formula1>#REF!</formula1>
    </dataValidation>
    <dataValidation sqref="K13:K29" showDropDown="0" showInputMessage="1" showErrorMessage="1" allowBlank="1" type="decimal">
      <formula1>0</formula1>
      <formula2>10000</formula2>
    </dataValidation>
    <dataValidation sqref="A14:D29" showDropDown="0" showInputMessage="1" showErrorMessage="1" allowBlank="1" type="list">
      <formula1>"足場架設工事,塗装工事,防水工事,板金工事,内装工事,木工事,大工工事,電気工事,設備工事,解体工事,ハウスクリーニング,雑工事,共通仮設費,諸経費,ｻｰﾋﾞｽ・お値引き"</formula1>
    </dataValidation>
    <dataValidation sqref="A13:D13" showDropDown="0" showInputMessage="1" showErrorMessage="1" allowBlank="1" type="list">
      <formula1>"足場架設工事,塗装工事,防水工事,板金工事,内装工事,木工事,大工工事,電気工事,設備工事,解体工事,外構工事,タイル工事,左官工事,ハウスクリーニング,雑工事,共通仮設費,諸経費,ｻｰﾋﾞｽ・お値引き"</formula1>
    </dataValidation>
  </dataValidations>
  <printOptions horizontalCentered="1" verticalCentered="1"/>
  <pageMargins left="0.2362204724409449" right="0.2362204724409449" top="0.7480314960629921" bottom="0.7480314960629921" header="0.3149606299212598" footer="0.3149606299212598"/>
  <pageSetup orientation="portrait" paperSize="9" scale="85" fitToHeight="0"/>
</worksheet>
</file>

<file path=xl/worksheets/sheet4.xml><?xml version="1.0" encoding="utf-8"?>
<worksheet xmlns="http://schemas.openxmlformats.org/spreadsheetml/2006/main">
  <sheetPr codeName="Sheet3">
    <outlinePr summaryBelow="1" summaryRight="1"/>
    <pageSetUpPr fitToPage="1"/>
  </sheetPr>
  <dimension ref="A1:R65"/>
  <sheetViews>
    <sheetView showGridLines="0" zoomScaleNormal="100" zoomScaleSheetLayoutView="90" workbookViewId="0">
      <selection activeCell="K9" sqref="K9"/>
    </sheetView>
  </sheetViews>
  <sheetFormatPr baseColWidth="8" defaultColWidth="5.59765625" defaultRowHeight="30" customHeight="1"/>
  <cols>
    <col width="3.19921875" customWidth="1" style="234" min="1" max="1"/>
    <col width="10.09765625" customWidth="1" style="207" min="2" max="3"/>
    <col width="8.69921875" customWidth="1" style="18" min="4" max="4"/>
    <col width="24.69921875" customWidth="1" style="18" min="5" max="5"/>
    <col width="8" customWidth="1" style="179" min="6" max="6"/>
    <col width="6.69921875" customWidth="1" style="179" min="7" max="7"/>
    <col width="12.3984375" customWidth="1" style="18" min="8" max="8"/>
    <col width="13.19921875" customWidth="1" style="18" min="9" max="9"/>
    <col width="5.59765625" customWidth="1" style="18" min="10" max="10"/>
    <col width="8.59765625" customWidth="1" style="18" min="12" max="12"/>
    <col width="8.59765625" customWidth="1" style="18" min="14" max="14"/>
    <col width="5.59765625" customWidth="1" style="18" min="15" max="15"/>
    <col width="20.59765625" customWidth="1" style="201" min="16" max="16"/>
    <col width="5.59765625" customWidth="1" style="18" min="17" max="17"/>
    <col width="20.09765625" customWidth="1" style="179" min="18" max="18"/>
    <col width="5.59765625" customWidth="1" style="18" min="19" max="16384"/>
  </cols>
  <sheetData>
    <row r="1">
      <c r="A1" s="495" t="inlineStr">
        <is>
          <t>内訳明細書</t>
        </is>
      </c>
      <c r="B1" s="179" t="n"/>
      <c r="C1" s="179" t="n"/>
      <c r="D1" s="179" t="n"/>
      <c r="E1" s="179" t="n"/>
      <c r="F1" s="179" t="n"/>
      <c r="G1" s="179" t="n"/>
      <c r="H1" s="179" t="n"/>
      <c r="I1" s="179" t="n"/>
      <c r="J1" s="203" t="n"/>
      <c r="P1" s="200" t="inlineStr">
        <is>
          <t>単価</t>
        </is>
      </c>
      <c r="R1" s="204" t="n"/>
    </row>
    <row r="2" ht="27" customHeight="1" s="7" thickBot="1">
      <c r="A2" s="205" t="n"/>
      <c r="B2" s="567" t="n"/>
      <c r="C2" s="788" t="n"/>
      <c r="D2" s="788" t="n"/>
      <c r="E2" s="184" t="n"/>
      <c r="F2" s="2" t="n"/>
      <c r="G2" s="2" t="n"/>
      <c r="H2" s="205" t="n"/>
      <c r="I2" s="2" t="n"/>
      <c r="J2" s="203" t="n"/>
      <c r="P2" s="201" t="inlineStr">
        <is>
          <t>キー</t>
        </is>
      </c>
    </row>
    <row r="3" ht="19.05" customHeight="1" s="7" thickTop="1">
      <c r="A3" s="205" t="n"/>
      <c r="B3" s="180" t="n"/>
      <c r="C3" s="180" t="n"/>
      <c r="D3" s="2" t="n"/>
      <c r="E3" s="2" t="n"/>
      <c r="F3" s="3" t="n"/>
      <c r="G3" s="3" t="n"/>
      <c r="H3" s="3" t="n"/>
      <c r="I3" s="3" t="n"/>
      <c r="J3" s="203" t="n"/>
      <c r="K3" s="0" t="inlineStr">
        <is>
          <t>数量</t>
        </is>
      </c>
      <c r="M3" s="0" t="inlineStr">
        <is>
          <t>単価</t>
        </is>
      </c>
      <c r="P3" s="201" t="inlineStr">
        <is>
          <t>外壁下塗り</t>
        </is>
      </c>
    </row>
    <row r="4" ht="18.45" customHeight="1" s="7">
      <c r="A4" s="549" t="inlineStr">
        <is>
          <t>名称</t>
        </is>
      </c>
      <c r="B4" s="794" t="n"/>
      <c r="C4" s="825" t="n"/>
      <c r="D4" s="549" t="inlineStr">
        <is>
          <t>仕様</t>
        </is>
      </c>
      <c r="E4" s="825" t="n"/>
      <c r="F4" s="560" t="inlineStr">
        <is>
          <t>数量</t>
        </is>
      </c>
      <c r="G4" s="558" t="inlineStr">
        <is>
          <t>単位</t>
        </is>
      </c>
      <c r="H4" s="249" t="inlineStr">
        <is>
          <t>単価</t>
        </is>
      </c>
      <c r="I4" s="549" t="inlineStr">
        <is>
          <t>金額</t>
        </is>
      </c>
      <c r="J4" s="203" t="n"/>
      <c r="K4" s="208" t="inlineStr">
        <is>
          <t>自動</t>
        </is>
      </c>
      <c r="L4" s="199" t="inlineStr">
        <is>
          <t>手入力</t>
        </is>
      </c>
      <c r="M4" s="208" t="inlineStr">
        <is>
          <t>自動</t>
        </is>
      </c>
      <c r="N4" s="199" t="inlineStr">
        <is>
          <t>手入力</t>
        </is>
      </c>
      <c r="P4" s="201" t="inlineStr">
        <is>
          <t>外壁中/上塗り</t>
        </is>
      </c>
    </row>
    <row r="5" ht="25.95" customHeight="1" s="7">
      <c r="A5" s="251" t="inlineStr"/>
      <c r="B5" s="562" t="n"/>
      <c r="C5" s="821" t="n"/>
      <c r="D5" s="253" t="n"/>
      <c r="E5" s="821" t="n"/>
      <c r="F5" s="252">
        <f>IF(L5&lt;&gt;"",L5,K5)</f>
        <v/>
      </c>
      <c r="G5" s="253" t="n"/>
      <c r="H5" s="826">
        <f>IF(N5&lt;&gt;"",N5,M5)</f>
        <v/>
      </c>
      <c r="I5" s="827">
        <f>IFERROR(F5*H5,"")</f>
        <v/>
      </c>
      <c r="J5" s="203" t="n"/>
      <c r="K5" s="209">
        <f t="array" ref="K5">IFERROR(INDEX(物件概要!$L$3:$L$50,MATCH(1,(物件概要!$K$3:$K$50&lt;&gt;"")*ISNUMBER(SEARCH(物件概要!$K$3:$K$50,B5)),0)),IFERROR(INDEX('物件概要(2)'!$L$3:$L$49,MATCH(1,('物件概要(2)'!$K$3:$K$49&lt;&gt;"")*ISNUMBER(SEARCH('物件概要(2)'!$K$3:$K$49,B5)),0)),""))</f>
        <v/>
      </c>
      <c r="L5" s="206" t="n"/>
      <c r="M5" s="211">
        <f t="array" ref="M5">IFERROR(INDEX('物件概要(2)'!$N$3:$N$49,MATCH(1,('物件概要(2)'!$M$3:$M$49&lt;&gt;"")*ISNUMBER(SEARCH('物件概要(2)'!$M$3:$M$49,B5)),0)),"")</f>
        <v/>
      </c>
      <c r="N5" s="206" t="n"/>
      <c r="P5" s="201" t="inlineStr">
        <is>
          <t>屋根下塗り</t>
        </is>
      </c>
    </row>
    <row r="6" ht="25.95" customHeight="1" s="7">
      <c r="A6" s="256" t="inlineStr"/>
      <c r="B6" s="564" t="n"/>
      <c r="C6" s="651" t="n"/>
      <c r="D6" s="258" t="n"/>
      <c r="E6" s="651" t="n"/>
      <c r="F6" s="257">
        <f>IF(L6&lt;&gt;"",L6,K6)</f>
        <v/>
      </c>
      <c r="G6" s="258" t="n"/>
      <c r="H6" s="828">
        <f>IF(N6&lt;&gt;"",N6,M6)</f>
        <v/>
      </c>
      <c r="I6" s="827">
        <f>IFERROR(F6*H6,"")</f>
        <v/>
      </c>
      <c r="J6" s="203" t="n"/>
      <c r="K6" s="209">
        <f t="array" ref="K6">IFERROR(INDEX(物件概要!$L$3:$L$50,MATCH(1,(物件概要!$K$3:$K$50&lt;&gt;"")*ISNUMBER(SEARCH(物件概要!$K$3:$K$50,B6)),0)),IFERROR(INDEX('物件概要(2)'!$L$3:$L$49,MATCH(1,('物件概要(2)'!$K$3:$K$49&lt;&gt;"")*ISNUMBER(SEARCH('物件概要(2)'!$K$3:$K$49,B6)),0)),""))</f>
        <v/>
      </c>
      <c r="L6" s="206" t="n"/>
      <c r="M6" s="211">
        <f t="array" ref="M6">IFERROR(INDEX('物件概要(2)'!$N$3:$N$49,MATCH(1,('物件概要(2)'!$M$3:$M$49&lt;&gt;"")*ISNUMBER(SEARCH('物件概要(2)'!$M$3:$M$49,B6)),0)),"")</f>
        <v/>
      </c>
      <c r="N6" s="206" t="n"/>
      <c r="P6" s="201" t="inlineStr">
        <is>
          <t>屋根中/上塗り</t>
        </is>
      </c>
    </row>
    <row r="7" ht="25.95" customHeight="1" s="7">
      <c r="A7" s="256" t="inlineStr"/>
      <c r="B7" s="564" t="n"/>
      <c r="C7" s="651" t="n"/>
      <c r="D7" s="258" t="n"/>
      <c r="E7" s="651" t="n"/>
      <c r="F7" s="260">
        <f>IF(L7&lt;&gt;"",L7,K7)</f>
        <v/>
      </c>
      <c r="G7" s="258" t="n"/>
      <c r="H7" s="828">
        <f>IF(N7&lt;&gt;"",N7,M7)</f>
        <v/>
      </c>
      <c r="I7" s="827">
        <f>IFERROR(F7*H7,"")</f>
        <v/>
      </c>
      <c r="J7" s="203" t="n"/>
      <c r="K7" s="209">
        <f t="array" ref="K7">IFERROR(INDEX(物件概要!$L$3:$L$50,MATCH(1,(物件概要!$K$3:$K$50&lt;&gt;"")*ISNUMBER(SEARCH(物件概要!$K$3:$K$50,B7)),0)),IFERROR(INDEX('物件概要(2)'!$L$3:$L$49,MATCH(1,('物件概要(2)'!$K$3:$K$49&lt;&gt;"")*ISNUMBER(SEARCH('物件概要(2)'!$K$3:$K$49,B7)),0)),""))</f>
        <v/>
      </c>
      <c r="L7" s="206" t="n"/>
      <c r="M7" s="211">
        <f t="array" ref="M7">IFERROR(INDEX('物件概要(2)'!$N$3:$N$49,MATCH(1,('物件概要(2)'!$M$3:$M$49&lt;&gt;"")*ISNUMBER(SEARCH('物件概要(2)'!$M$3:$M$49,B7)),0)),"")</f>
        <v/>
      </c>
      <c r="N7" s="206" t="n"/>
      <c r="P7" s="201" t="inlineStr">
        <is>
          <t>外部足場組立・解体費</t>
        </is>
      </c>
    </row>
    <row r="8" ht="25.95" customHeight="1" s="7">
      <c r="A8" s="256" t="inlineStr"/>
      <c r="B8" s="564" t="n"/>
      <c r="C8" s="651" t="n"/>
      <c r="D8" s="258" t="n"/>
      <c r="E8" s="651" t="n"/>
      <c r="F8" s="260">
        <f>IF(L8&lt;&gt;"",L8,K8)</f>
        <v/>
      </c>
      <c r="G8" s="258" t="n"/>
      <c r="H8" s="828">
        <f>IF(N8&lt;&gt;"",N8,M8)</f>
        <v/>
      </c>
      <c r="I8" s="827">
        <f>IFERROR(F8*H8,"")</f>
        <v/>
      </c>
      <c r="J8" s="203" t="n"/>
      <c r="K8" s="209">
        <f t="array" ref="K8">IFERROR(INDEX(物件概要!$L$3:$L$50,MATCH(1,(物件概要!$K$3:$K$50&lt;&gt;"")*ISNUMBER(SEARCH(物件概要!$K$3:$K$50,B8)),0)),IFERROR(INDEX('物件概要(2)'!$L$3:$L$49,MATCH(1,('物件概要(2)'!$K$3:$K$49&lt;&gt;"")*ISNUMBER(SEARCH('物件概要(2)'!$K$3:$K$49,B8)),0)),""))</f>
        <v/>
      </c>
      <c r="L8" s="206" t="n"/>
      <c r="M8" s="211">
        <f t="array" ref="M8">IFERROR(INDEX('物件概要(2)'!$N$3:$N$49,MATCH(1,('物件概要(2)'!$M$3:$M$49&lt;&gt;"")*ISNUMBER(SEARCH('物件概要(2)'!$M$3:$M$49,B8)),0)),"")</f>
        <v/>
      </c>
      <c r="N8" s="206" t="n"/>
      <c r="P8" s="201" t="inlineStr">
        <is>
          <t>足場養生メッシュシート張り</t>
        </is>
      </c>
    </row>
    <row r="9" ht="25.95" customHeight="1" s="7">
      <c r="A9" s="256" t="inlineStr"/>
      <c r="B9" s="564" t="n"/>
      <c r="C9" s="651" t="n"/>
      <c r="D9" s="258" t="n"/>
      <c r="E9" s="651" t="n"/>
      <c r="F9" s="260">
        <f>IF(L9&lt;&gt;"",L9,K9)</f>
        <v/>
      </c>
      <c r="G9" s="258" t="n"/>
      <c r="H9" s="828">
        <f>IF(N9&lt;&gt;"",N9,M9)</f>
        <v/>
      </c>
      <c r="I9" s="827">
        <f>IFERROR(F9*H9,"")</f>
        <v/>
      </c>
      <c r="J9" s="203" t="n"/>
      <c r="K9" s="209">
        <f t="array" ref="K9">IFERROR(INDEX(物件概要!$L$3:$L$50,MATCH(1,(物件概要!$K$3:$K$50&lt;&gt;"")*ISNUMBER(SEARCH(物件概要!$K$3:$K$50,B9)),0)),IFERROR(INDEX('物件概要(2)'!$L$3:$L$49,MATCH(1,('物件概要(2)'!$K$3:$K$49&lt;&gt;"")*ISNUMBER(SEARCH('物件概要(2)'!$K$3:$K$49,B9)),0)),""))</f>
        <v/>
      </c>
      <c r="L9" s="206" t="n"/>
      <c r="M9" s="211">
        <f t="array" ref="M9">IFERROR(INDEX('物件概要(2)'!$N$3:$N$49,MATCH(1,('物件概要(2)'!$M$3:$M$49&lt;&gt;"")*ISNUMBER(SEARCH('物件概要(2)'!$M$3:$M$49,B9)),0)),"")</f>
        <v/>
      </c>
      <c r="N9" s="206" t="n"/>
      <c r="P9" s="201" t="inlineStr">
        <is>
          <t>下地調査費</t>
        </is>
      </c>
    </row>
    <row r="10" ht="25.95" customHeight="1" s="7">
      <c r="A10" s="256" t="inlineStr"/>
      <c r="B10" s="261" t="n"/>
      <c r="C10" s="261" t="n"/>
      <c r="D10" s="258" t="n"/>
      <c r="E10" s="651" t="n"/>
      <c r="F10" s="260">
        <f>IF(L10&lt;&gt;"",L10,K10)</f>
        <v/>
      </c>
      <c r="G10" s="258" t="n"/>
      <c r="H10" s="828">
        <f>IF(N10&lt;&gt;"",N10,M10)</f>
        <v/>
      </c>
      <c r="I10" s="827">
        <f>IFERROR(F10*H10,"")</f>
        <v/>
      </c>
      <c r="J10" s="203" t="n"/>
      <c r="K10" s="209">
        <f t="array" ref="K10">IFERROR(INDEX(物件概要!$L$3:$L$50,MATCH(1,(物件概要!$K$3:$K$50&lt;&gt;"")*ISNUMBER(SEARCH(物件概要!$K$3:$K$50,B10)),0)),IFERROR(INDEX('物件概要(2)'!$L$3:$L$49,MATCH(1,('物件概要(2)'!$K$3:$K$49&lt;&gt;"")*ISNUMBER(SEARCH('物件概要(2)'!$K$3:$K$49,B10)),0)),""))</f>
        <v/>
      </c>
      <c r="L10" s="206" t="n"/>
      <c r="M10" s="211">
        <f t="array" ref="M10">IFERROR(INDEX('物件概要(2)'!$N$3:$N$49,MATCH(1,('物件概要(2)'!$M$3:$M$49&lt;&gt;"")*ISNUMBER(SEARCH('物件概要(2)'!$M$3:$M$49,B10)),0)),"")</f>
        <v/>
      </c>
      <c r="N10" s="206" t="n"/>
      <c r="P10" s="201" t="inlineStr">
        <is>
          <t>高圧洗浄</t>
        </is>
      </c>
    </row>
    <row r="11" ht="25.95" customHeight="1" s="7">
      <c r="A11" s="256" t="inlineStr"/>
      <c r="B11" s="564" t="n"/>
      <c r="C11" s="651" t="n"/>
      <c r="D11" s="258" t="n"/>
      <c r="E11" s="651" t="n"/>
      <c r="F11" s="260">
        <f>IF(L11&lt;&gt;"",L11,K11)</f>
        <v/>
      </c>
      <c r="G11" s="258" t="n"/>
      <c r="H11" s="828">
        <f>IF(N11&lt;&gt;"",N11,M11)</f>
        <v/>
      </c>
      <c r="I11" s="827">
        <f>IFERROR(F11*H11,"")</f>
        <v/>
      </c>
      <c r="J11" s="203" t="n"/>
      <c r="K11" s="209">
        <f t="array" ref="K11">IFERROR(INDEX(物件概要!$L$3:$L$50,MATCH(1,(物件概要!$K$3:$K$50&lt;&gt;"")*ISNUMBER(SEARCH(物件概要!$K$3:$K$50,B11)),0)),IFERROR(INDEX('物件概要(2)'!$L$3:$L$49,MATCH(1,('物件概要(2)'!$K$3:$K$49&lt;&gt;"")*ISNUMBER(SEARCH('物件概要(2)'!$K$3:$K$49,B11)),0)),""))</f>
        <v/>
      </c>
      <c r="L11" s="206" t="n"/>
      <c r="M11" s="211">
        <f t="array" ref="M11">IFERROR(INDEX('物件概要(2)'!$N$3:$N$49,MATCH(1,('物件概要(2)'!$M$3:$M$49&lt;&gt;"")*ISNUMBER(SEARCH('物件概要(2)'!$M$3:$M$49,B11)),0)),"")</f>
        <v/>
      </c>
      <c r="N11" s="206" t="n"/>
      <c r="P11" s="201" t="inlineStr">
        <is>
          <t>軒天下塗り</t>
        </is>
      </c>
    </row>
    <row r="12" ht="25.95" customHeight="1" s="7">
      <c r="A12" s="256" t="inlineStr"/>
      <c r="B12" s="564" t="n"/>
      <c r="C12" s="651" t="n"/>
      <c r="D12" s="258" t="n"/>
      <c r="E12" s="651" t="n"/>
      <c r="F12" s="260">
        <f>IF(L12&lt;&gt;"",L12,K12)</f>
        <v/>
      </c>
      <c r="G12" s="258" t="n"/>
      <c r="H12" s="828">
        <f>IF(N12&lt;&gt;"",N12,M12)</f>
        <v/>
      </c>
      <c r="I12" s="827">
        <f>IFERROR(F12*H12,"")</f>
        <v/>
      </c>
      <c r="J12" s="203" t="n"/>
      <c r="K12" s="209">
        <f t="array" ref="K12">IFERROR(INDEX(物件概要!$L$3:$L$50,MATCH(1,(物件概要!$K$3:$K$50&lt;&gt;"")*ISNUMBER(SEARCH(物件概要!$K$3:$K$50,B12)),0)),IFERROR(INDEX('物件概要(2)'!$L$3:$L$49,MATCH(1,('物件概要(2)'!$K$3:$K$49&lt;&gt;"")*ISNUMBER(SEARCH('物件概要(2)'!$K$3:$K$49,B12)),0)),""))</f>
        <v/>
      </c>
      <c r="L12" s="206" t="n"/>
      <c r="M12" s="211">
        <f t="array" ref="M12">IFERROR(INDEX('物件概要(2)'!$N$3:$N$49,MATCH(1,('物件概要(2)'!$M$3:$M$49&lt;&gt;"")*ISNUMBER(SEARCH('物件概要(2)'!$M$3:$M$49,B12)),0)),"")</f>
        <v/>
      </c>
      <c r="N12" s="206" t="n"/>
      <c r="P12" s="201" t="inlineStr">
        <is>
          <t>軒天中/上塗り</t>
        </is>
      </c>
    </row>
    <row r="13" ht="25.95" customHeight="1" s="7">
      <c r="A13" s="256" t="inlineStr"/>
      <c r="B13" s="564" t="n"/>
      <c r="C13" s="651" t="n"/>
      <c r="D13" s="258" t="n"/>
      <c r="E13" s="651" t="n"/>
      <c r="F13" s="260">
        <f>IF(L13&lt;&gt;"",L13,K13)</f>
        <v/>
      </c>
      <c r="G13" s="258" t="n"/>
      <c r="H13" s="828">
        <f>IF(N13&lt;&gt;"",N13,M13)</f>
        <v/>
      </c>
      <c r="I13" s="827">
        <f>IFERROR(F13*H13,"")</f>
        <v/>
      </c>
      <c r="J13" s="203" t="n"/>
      <c r="K13" s="209">
        <f t="array" ref="K13">IFERROR(INDEX(物件概要!$L$3:$L$50,MATCH(1,(物件概要!$K$3:$K$50&lt;&gt;"")*ISNUMBER(SEARCH(物件概要!$K$3:$K$50,B13)),0)),IFERROR(INDEX('物件概要(2)'!$L$3:$L$49,MATCH(1,('物件概要(2)'!$K$3:$K$49&lt;&gt;"")*ISNUMBER(SEARCH('物件概要(2)'!$K$3:$K$49,B13)),0)),""))</f>
        <v/>
      </c>
      <c r="L13" s="206" t="n"/>
      <c r="M13" s="211">
        <f t="array" ref="M13">IFERROR(INDEX('物件概要(2)'!$N$3:$N$49,MATCH(1,('物件概要(2)'!$M$3:$M$49&lt;&gt;"")*ISNUMBER(SEARCH('物件概要(2)'!$M$3:$M$49,B13)),0)),"")</f>
        <v/>
      </c>
      <c r="N13" s="206" t="n"/>
      <c r="P13" s="201" t="inlineStr">
        <is>
          <t>軒樋下塗り</t>
        </is>
      </c>
    </row>
    <row r="14" ht="25.95" customHeight="1" s="7">
      <c r="A14" s="256" t="inlineStr"/>
      <c r="B14" s="564" t="n"/>
      <c r="C14" s="651" t="n"/>
      <c r="D14" s="258" t="n"/>
      <c r="E14" s="651" t="n"/>
      <c r="F14" s="260">
        <f>IF(L14&lt;&gt;"",L14,K14)</f>
        <v/>
      </c>
      <c r="G14" s="258" t="n"/>
      <c r="H14" s="828">
        <f>IF(N14&lt;&gt;"",N14,M14)</f>
        <v/>
      </c>
      <c r="I14" s="827">
        <f>IFERROR(F14*H14,"")</f>
        <v/>
      </c>
      <c r="J14" s="203" t="n"/>
      <c r="K14" s="209">
        <f t="array" ref="K14">IFERROR(INDEX(物件概要!$L$3:$L$50,MATCH(1,(物件概要!$K$3:$K$50&lt;&gt;"")*ISNUMBER(SEARCH(物件概要!$K$3:$K$50,B14)),0)),IFERROR(INDEX('物件概要(2)'!$L$3:$L$49,MATCH(1,('物件概要(2)'!$K$3:$K$49&lt;&gt;"")*ISNUMBER(SEARCH('物件概要(2)'!$K$3:$K$49,B14)),0)),""))</f>
        <v/>
      </c>
      <c r="L14" s="206" t="n"/>
      <c r="M14" s="211">
        <f t="array" ref="M14">IFERROR(INDEX('物件概要(2)'!$N$3:$N$49,MATCH(1,('物件概要(2)'!$M$3:$M$49&lt;&gt;"")*ISNUMBER(SEARCH('物件概要(2)'!$M$3:$M$49,B14)),0)),"")</f>
        <v/>
      </c>
      <c r="N14" s="206" t="n"/>
      <c r="P14" s="201" t="inlineStr">
        <is>
          <t>軒樋中/上塗り</t>
        </is>
      </c>
    </row>
    <row r="15" ht="25.95" customHeight="1" s="7">
      <c r="A15" s="256" t="inlineStr"/>
      <c r="B15" s="564" t="n"/>
      <c r="C15" s="651" t="n"/>
      <c r="D15" s="258" t="n"/>
      <c r="E15" s="651" t="n"/>
      <c r="F15" s="260">
        <f>IF(L15&lt;&gt;"",L15,K15)</f>
        <v/>
      </c>
      <c r="G15" s="258" t="n"/>
      <c r="H15" s="828">
        <f>IF(N15&lt;&gt;"",N15,M15)</f>
        <v/>
      </c>
      <c r="I15" s="827">
        <f>IFERROR(F15*H15,"")</f>
        <v/>
      </c>
      <c r="J15" s="203" t="n"/>
      <c r="K15" s="209">
        <f t="array" ref="K15">IFERROR(INDEX(物件概要!$L$3:$L$50,MATCH(1,(物件概要!$K$3:$K$50&lt;&gt;"")*ISNUMBER(SEARCH(物件概要!$K$3:$K$50,B15)),0)),IFERROR(INDEX('物件概要(2)'!$L$3:$L$49,MATCH(1,('物件概要(2)'!$K$3:$K$49&lt;&gt;"")*ISNUMBER(SEARCH('物件概要(2)'!$K$3:$K$49,B15)),0)),""))</f>
        <v/>
      </c>
      <c r="L15" s="206" t="n"/>
      <c r="M15" s="211">
        <f t="array" ref="M15">IFERROR(INDEX('物件概要(2)'!$N$3:$N$49,MATCH(1,('物件概要(2)'!$M$3:$M$49&lt;&gt;"")*ISNUMBER(SEARCH('物件概要(2)'!$M$3:$M$49,B15)),0)),"")</f>
        <v/>
      </c>
      <c r="N15" s="206" t="n"/>
      <c r="P15" s="201" t="inlineStr">
        <is>
          <t>竪樋下塗り</t>
        </is>
      </c>
    </row>
    <row r="16" ht="25.95" customHeight="1" s="7">
      <c r="A16" s="256" t="inlineStr"/>
      <c r="B16" s="564" t="n"/>
      <c r="C16" s="651" t="n"/>
      <c r="D16" s="258" t="n"/>
      <c r="E16" s="651" t="n"/>
      <c r="F16" s="260">
        <f>IF(L16&lt;&gt;"",L16,K16)</f>
        <v/>
      </c>
      <c r="G16" s="258" t="n"/>
      <c r="H16" s="828">
        <f>IF(N16&lt;&gt;"",N16,M16)</f>
        <v/>
      </c>
      <c r="I16" s="827">
        <f>IFERROR(F16*H16,"")</f>
        <v/>
      </c>
      <c r="J16" s="203" t="n"/>
      <c r="K16" s="209">
        <f t="array" ref="K16">IFERROR(INDEX(物件概要!$L$3:$L$50,MATCH(1,(物件概要!$K$3:$K$50&lt;&gt;"")*ISNUMBER(SEARCH(物件概要!$K$3:$K$50,B16)),0)),IFERROR(INDEX('物件概要(2)'!$L$3:$L$49,MATCH(1,('物件概要(2)'!$K$3:$K$49&lt;&gt;"")*ISNUMBER(SEARCH('物件概要(2)'!$K$3:$K$49,B16)),0)),""))</f>
        <v/>
      </c>
      <c r="L16" s="206" t="n"/>
      <c r="M16" s="211">
        <f t="array" ref="M16">IFERROR(INDEX('物件概要(2)'!$N$3:$N$49,MATCH(1,('物件概要(2)'!$M$3:$M$49&lt;&gt;"")*ISNUMBER(SEARCH('物件概要(2)'!$M$3:$M$49,B16)),0)),"")</f>
        <v/>
      </c>
      <c r="N16" s="206" t="n"/>
      <c r="P16" s="201" t="inlineStr">
        <is>
          <t>竪樋中/上塗り</t>
        </is>
      </c>
    </row>
    <row r="17" ht="25.95" customHeight="1" s="7">
      <c r="A17" s="256" t="inlineStr"/>
      <c r="B17" s="564" t="n"/>
      <c r="C17" s="651" t="n"/>
      <c r="D17" s="258" t="n"/>
      <c r="E17" s="651" t="n"/>
      <c r="F17" s="260">
        <f>IF(L17&lt;&gt;"",L17,K17)</f>
        <v/>
      </c>
      <c r="G17" s="258" t="n"/>
      <c r="H17" s="828">
        <f>IF(N17&lt;&gt;"",N17,M17)</f>
        <v/>
      </c>
      <c r="I17" s="827">
        <f>IFERROR(F17*H17,"")</f>
        <v/>
      </c>
      <c r="J17" s="203" t="n"/>
      <c r="K17" s="209">
        <f t="array" ref="K17">IFERROR(INDEX(物件概要!$L$3:$L$50,MATCH(1,(物件概要!$K$3:$K$50&lt;&gt;"")*ISNUMBER(SEARCH(物件概要!$K$3:$K$50,B17)),0)),IFERROR(INDEX('物件概要(2)'!$L$3:$L$49,MATCH(1,('物件概要(2)'!$K$3:$K$49&lt;&gt;"")*ISNUMBER(SEARCH('物件概要(2)'!$K$3:$K$49,B17)),0)),""))</f>
        <v/>
      </c>
      <c r="L17" s="206" t="n"/>
      <c r="M17" s="211">
        <f t="array" ref="M17">IFERROR(INDEX('物件概要(2)'!$N$3:$N$49,MATCH(1,('物件概要(2)'!$M$3:$M$49&lt;&gt;"")*ISNUMBER(SEARCH('物件概要(2)'!$M$3:$M$49,B17)),0)),"")</f>
        <v/>
      </c>
      <c r="N17" s="206" t="n"/>
      <c r="P17" s="201" t="inlineStr">
        <is>
          <t>破風下塗り</t>
        </is>
      </c>
    </row>
    <row r="18" ht="25.95" customHeight="1" s="7">
      <c r="A18" s="256" t="inlineStr"/>
      <c r="B18" s="564" t="n"/>
      <c r="C18" s="651" t="n"/>
      <c r="D18" s="258" t="n"/>
      <c r="E18" s="651" t="n"/>
      <c r="F18" s="260">
        <f>IF(L18&lt;&gt;"",L18,K18)</f>
        <v/>
      </c>
      <c r="G18" s="258" t="n"/>
      <c r="H18" s="828">
        <f>IF(N18&lt;&gt;"",N18,M18)</f>
        <v/>
      </c>
      <c r="I18" s="827">
        <f>IFERROR(F18*H18,"")</f>
        <v/>
      </c>
      <c r="J18" s="203" t="n"/>
      <c r="K18" s="209">
        <f t="array" ref="K18">IFERROR(INDEX(物件概要!$L$3:$L$50,MATCH(1,(物件概要!$K$3:$K$50&lt;&gt;"")*ISNUMBER(SEARCH(物件概要!$K$3:$K$50,B18)),0)),IFERROR(INDEX('物件概要(2)'!$L$3:$L$49,MATCH(1,('物件概要(2)'!$K$3:$K$49&lt;&gt;"")*ISNUMBER(SEARCH('物件概要(2)'!$K$3:$K$49,B18)),0)),""))</f>
        <v/>
      </c>
      <c r="L18" s="206" t="n"/>
      <c r="M18" s="211">
        <f t="array" ref="M18">IFERROR(INDEX('物件概要(2)'!$N$3:$N$49,MATCH(1,('物件概要(2)'!$M$3:$M$49&lt;&gt;"")*ISNUMBER(SEARCH('物件概要(2)'!$M$3:$M$49,B18)),0)),"")</f>
        <v/>
      </c>
      <c r="N18" s="206" t="n"/>
      <c r="P18" s="201" t="inlineStr">
        <is>
          <t>破風中塗り/上塗り</t>
        </is>
      </c>
    </row>
    <row r="19" ht="25.95" customHeight="1" s="7">
      <c r="A19" s="256" t="inlineStr"/>
      <c r="B19" s="564" t="n"/>
      <c r="C19" s="651" t="n"/>
      <c r="D19" s="258" t="n"/>
      <c r="E19" s="651" t="n"/>
      <c r="F19" s="260">
        <f>IF(L19&lt;&gt;"",L19,K19)</f>
        <v/>
      </c>
      <c r="G19" s="258" t="n"/>
      <c r="H19" s="828">
        <f>IF(N19&lt;&gt;"",N19,M19)</f>
        <v/>
      </c>
      <c r="I19" s="827">
        <f>IFERROR(F19*H19,"")</f>
        <v/>
      </c>
      <c r="J19" s="203" t="n"/>
      <c r="K19" s="209">
        <f t="array" ref="K19">IFERROR(INDEX(物件概要!$L$3:$L$50,MATCH(1,(物件概要!$K$3:$K$50&lt;&gt;"")*ISNUMBER(SEARCH(物件概要!$K$3:$K$50,B19)),0)),IFERROR(INDEX('物件概要(2)'!$L$3:$L$49,MATCH(1,('物件概要(2)'!$K$3:$K$49&lt;&gt;"")*ISNUMBER(SEARCH('物件概要(2)'!$K$3:$K$49,B19)),0)),""))</f>
        <v/>
      </c>
      <c r="L19" s="206" t="n"/>
      <c r="M19" s="211">
        <f t="array" ref="M19">IFERROR(INDEX('物件概要(2)'!$N$3:$N$49,MATCH(1,('物件概要(2)'!$M$3:$M$49&lt;&gt;"")*ISNUMBER(SEARCH('物件概要(2)'!$M$3:$M$49,B19)),0)),"")</f>
        <v/>
      </c>
      <c r="N19" s="206" t="n"/>
      <c r="P19" s="201" t="inlineStr">
        <is>
          <t>基礎塗装下塗り</t>
        </is>
      </c>
    </row>
    <row r="20" ht="25.95" customHeight="1" s="7">
      <c r="A20" s="256" t="inlineStr"/>
      <c r="B20" s="564" t="n"/>
      <c r="C20" s="651" t="n"/>
      <c r="D20" s="258" t="n"/>
      <c r="E20" s="651" t="n"/>
      <c r="F20" s="260">
        <f>IF(L20&lt;&gt;"",L20,K20)</f>
        <v/>
      </c>
      <c r="G20" s="258" t="n"/>
      <c r="H20" s="828">
        <f>IF(N20&lt;&gt;"",N20,M20)</f>
        <v/>
      </c>
      <c r="I20" s="827">
        <f>IFERROR(F20*H20,"")</f>
        <v/>
      </c>
      <c r="J20" s="203" t="n"/>
      <c r="K20" s="209">
        <f t="array" ref="K20">IFERROR(INDEX(物件概要!$L$3:$L$50,MATCH(1,(物件概要!$K$3:$K$50&lt;&gt;"")*ISNUMBER(SEARCH(物件概要!$K$3:$K$50,B20)),0)),IFERROR(INDEX('物件概要(2)'!$L$3:$L$49,MATCH(1,('物件概要(2)'!$K$3:$K$49&lt;&gt;"")*ISNUMBER(SEARCH('物件概要(2)'!$K$3:$K$49,B20)),0)),""))</f>
        <v/>
      </c>
      <c r="L20" s="206" t="n"/>
      <c r="M20" s="211">
        <f t="array" ref="M20">IFERROR(INDEX('物件概要(2)'!$N$3:$N$49,MATCH(1,('物件概要(2)'!$M$3:$M$49&lt;&gt;"")*ISNUMBER(SEARCH('物件概要(2)'!$M$3:$M$49,B20)),0)),"")</f>
        <v/>
      </c>
      <c r="N20" s="206" t="n"/>
      <c r="P20" s="201" t="inlineStr">
        <is>
          <t>基礎塗装中/上塗り</t>
        </is>
      </c>
    </row>
    <row r="21" ht="25.95" customHeight="1" s="7">
      <c r="A21" s="256" t="inlineStr"/>
      <c r="B21" s="564" t="n"/>
      <c r="C21" s="651" t="n"/>
      <c r="D21" s="258" t="n"/>
      <c r="E21" s="651" t="n"/>
      <c r="F21" s="260">
        <f>IF(L21&lt;&gt;"",L21,K21)</f>
        <v/>
      </c>
      <c r="G21" s="258" t="n"/>
      <c r="H21" s="828">
        <f>IF(N21&lt;&gt;"",N21,M21)</f>
        <v/>
      </c>
      <c r="I21" s="827">
        <f>IFERROR(F21*H21,"")</f>
        <v/>
      </c>
      <c r="J21" s="203" t="n"/>
      <c r="K21" s="209">
        <f t="array" ref="K21">IFERROR(INDEX(物件概要!$L$3:$L$50,MATCH(1,(物件概要!$K$3:$K$50&lt;&gt;"")*ISNUMBER(SEARCH(物件概要!$K$3:$K$50,B21)),0)),IFERROR(INDEX('物件概要(2)'!$L$3:$L$49,MATCH(1,('物件概要(2)'!$K$3:$K$49&lt;&gt;"")*ISNUMBER(SEARCH('物件概要(2)'!$K$3:$K$49,B21)),0)),""))</f>
        <v/>
      </c>
      <c r="L21" s="206" t="n"/>
      <c r="M21" s="211">
        <f t="array" ref="M21">IFERROR(INDEX('物件概要(2)'!$N$3:$N$49,MATCH(1,('物件概要(2)'!$M$3:$M$49&lt;&gt;"")*ISNUMBER(SEARCH('物件概要(2)'!$M$3:$M$49,B21)),0)),"")</f>
        <v/>
      </c>
      <c r="N21" s="206" t="n"/>
      <c r="P21" s="201" t="inlineStr">
        <is>
          <t>ｼｰﾙ打ち換え</t>
        </is>
      </c>
    </row>
    <row r="22" ht="25.95" customHeight="1" s="7">
      <c r="A22" s="256" t="inlineStr"/>
      <c r="B22" s="564" t="n"/>
      <c r="C22" s="651" t="n"/>
      <c r="D22" s="258" t="n"/>
      <c r="E22" s="651" t="n"/>
      <c r="F22" s="260">
        <f>IF(L22&lt;&gt;"",L22,K22)</f>
        <v/>
      </c>
      <c r="G22" s="258" t="n"/>
      <c r="H22" s="828">
        <f>IF(N22&lt;&gt;"",N22,M22)</f>
        <v/>
      </c>
      <c r="I22" s="827">
        <f>IFERROR(F22*H22,"")</f>
        <v/>
      </c>
      <c r="J22" s="203" t="n"/>
      <c r="K22" s="209">
        <f t="array" ref="K22">IFERROR(INDEX(物件概要!$L$3:$L$50,MATCH(1,(物件概要!$K$3:$K$50&lt;&gt;"")*ISNUMBER(SEARCH(物件概要!$K$3:$K$50,B22)),0)),IFERROR(INDEX('物件概要(2)'!$L$3:$L$49,MATCH(1,('物件概要(2)'!$K$3:$K$49&lt;&gt;"")*ISNUMBER(SEARCH('物件概要(2)'!$K$3:$K$49,B22)),0)),""))</f>
        <v/>
      </c>
      <c r="L22" s="206" t="n"/>
      <c r="M22" s="211">
        <f t="array" ref="M22">IFERROR(INDEX('物件概要(2)'!$N$3:$N$49,MATCH(1,('物件概要(2)'!$M$3:$M$49&lt;&gt;"")*ISNUMBER(SEARCH('物件概要(2)'!$M$3:$M$49,B22)),0)),"")</f>
        <v/>
      </c>
      <c r="N22" s="206" t="n"/>
      <c r="P22" s="201" t="inlineStr">
        <is>
          <t>ｼｰﾙ増し打ち</t>
        </is>
      </c>
    </row>
    <row r="23" ht="25.95" customHeight="1" s="7">
      <c r="A23" s="256" t="inlineStr"/>
      <c r="B23" s="564" t="n"/>
      <c r="C23" s="651" t="n"/>
      <c r="D23" s="258" t="n"/>
      <c r="E23" s="651" t="n"/>
      <c r="F23" s="260">
        <f>IF(L23&lt;&gt;"",L23,K23)</f>
        <v/>
      </c>
      <c r="G23" s="258" t="n"/>
      <c r="H23" s="828">
        <f>IF(N23&lt;&gt;"",N23,M23)</f>
        <v/>
      </c>
      <c r="I23" s="827">
        <f>IFERROR(F23*H23,"")</f>
        <v/>
      </c>
      <c r="J23" s="203" t="n"/>
      <c r="K23" s="209">
        <f t="array" ref="K23">IFERROR(INDEX(物件概要!$L$3:$L$50,MATCH(1,(物件概要!$K$3:$K$50&lt;&gt;"")*ISNUMBER(SEARCH(物件概要!$K$3:$K$50,B23)),0)),IFERROR(INDEX('物件概要(2)'!$L$3:$L$49,MATCH(1,('物件概要(2)'!$K$3:$K$49&lt;&gt;"")*ISNUMBER(SEARCH('物件概要(2)'!$K$3:$K$49,B23)),0)),""))</f>
        <v/>
      </c>
      <c r="L23" s="206" t="n"/>
      <c r="M23" s="211">
        <f t="array" ref="M23">IFERROR(INDEX('物件概要(2)'!$N$3:$N$49,MATCH(1,('物件概要(2)'!$M$3:$M$49&lt;&gt;"")*ISNUMBER(SEARCH('物件概要(2)'!$M$3:$M$49,B23)),0)),"")</f>
        <v/>
      </c>
      <c r="N23" s="206" t="n"/>
      <c r="P23" s="201" t="inlineStr">
        <is>
          <t>平場長尺シート貼込</t>
        </is>
      </c>
    </row>
    <row r="24" ht="25.95" customHeight="1" s="7">
      <c r="A24" s="256" t="inlineStr"/>
      <c r="B24" s="564" t="n"/>
      <c r="C24" s="651" t="n"/>
      <c r="D24" s="258" t="n"/>
      <c r="E24" s="651" t="n"/>
      <c r="F24" s="260">
        <f>IF(L24&lt;&gt;"",L24,K24)</f>
        <v/>
      </c>
      <c r="G24" s="258" t="n"/>
      <c r="H24" s="828">
        <f>IF(N24&lt;&gt;"",N24,M24)</f>
        <v/>
      </c>
      <c r="I24" s="827">
        <f>IFERROR(F24*H24,"")</f>
        <v/>
      </c>
      <c r="J24" s="203" t="n"/>
      <c r="K24" s="209">
        <f t="array" ref="K24">IFERROR(INDEX(物件概要!$L$3:$L$50,MATCH(1,(物件概要!$K$3:$K$50&lt;&gt;"")*ISNUMBER(SEARCH(物件概要!$K$3:$K$50,B24)),0)),IFERROR(INDEX('物件概要(2)'!$L$3:$L$49,MATCH(1,('物件概要(2)'!$K$3:$K$49&lt;&gt;"")*ISNUMBER(SEARCH('物件概要(2)'!$K$3:$K$49,B24)),0)),""))</f>
        <v/>
      </c>
      <c r="L24" s="206" t="n"/>
      <c r="M24" s="211">
        <f t="array" ref="M24">IFERROR(INDEX('物件概要(2)'!$N$3:$N$49,MATCH(1,('物件概要(2)'!$M$3:$M$49&lt;&gt;"")*ISNUMBER(SEARCH('物件概要(2)'!$M$3:$M$49,B24)),0)),"")</f>
        <v/>
      </c>
      <c r="N24" s="206" t="n"/>
      <c r="P24" s="201" t="inlineStr">
        <is>
          <t>階段ステップ貼込</t>
        </is>
      </c>
    </row>
    <row r="25" ht="25.95" customHeight="1" s="7">
      <c r="A25" s="256" t="inlineStr"/>
      <c r="B25" s="564" t="n"/>
      <c r="C25" s="651" t="n"/>
      <c r="D25" s="258" t="n"/>
      <c r="E25" s="651" t="n"/>
      <c r="F25" s="260">
        <f>IF(L25&lt;&gt;"",L25,K25)</f>
        <v/>
      </c>
      <c r="G25" s="258" t="n"/>
      <c r="H25" s="828">
        <f>IF(N25&lt;&gt;"",N25,M25)</f>
        <v/>
      </c>
      <c r="I25" s="827">
        <f>IFERROR(F25*H25,"")</f>
        <v/>
      </c>
      <c r="J25" s="203" t="n"/>
      <c r="K25" s="209">
        <f t="array" ref="K25">IFERROR(INDEX(物件概要!$L$3:$L$50,MATCH(1,(物件概要!$K$3:$K$50&lt;&gt;"")*ISNUMBER(SEARCH(物件概要!$K$3:$K$50,B25)),0)),IFERROR(INDEX('物件概要(2)'!$L$3:$L$49,MATCH(1,('物件概要(2)'!$K$3:$K$49&lt;&gt;"")*ISNUMBER(SEARCH('物件概要(2)'!$K$3:$K$49,B25)),0)),""))</f>
        <v/>
      </c>
      <c r="L25" s="206" t="n"/>
      <c r="M25" s="211">
        <f t="array" ref="M25">IFERROR(INDEX('物件概要(2)'!$N$3:$N$49,MATCH(1,('物件概要(2)'!$M$3:$M$49&lt;&gt;"")*ISNUMBER(SEARCH('物件概要(2)'!$M$3:$M$49,B25)),0)),"")</f>
        <v/>
      </c>
      <c r="N25" s="206" t="n"/>
      <c r="P25" s="201" t="inlineStr">
        <is>
          <t>ｼｰﾙ打ち込み</t>
        </is>
      </c>
    </row>
    <row r="26" ht="25.95" customHeight="1" s="7">
      <c r="A26" s="256" t="inlineStr"/>
      <c r="B26" s="564" t="n"/>
      <c r="C26" s="651" t="n"/>
      <c r="D26" s="258" t="n"/>
      <c r="E26" s="651" t="n"/>
      <c r="F26" s="260">
        <f>IF(L26&lt;&gt;"",L26,K26)</f>
        <v/>
      </c>
      <c r="G26" s="258" t="n"/>
      <c r="H26" s="828">
        <f>IF(N26&lt;&gt;"",N26,M26)</f>
        <v/>
      </c>
      <c r="I26" s="827">
        <f>IFERROR(F26*H26,"")</f>
        <v/>
      </c>
      <c r="J26" s="203" t="n"/>
      <c r="K26" s="209">
        <f t="array" ref="K26">IFERROR(INDEX(物件概要!$L$3:$L$50,MATCH(1,(物件概要!$K$3:$K$50&lt;&gt;"")*ISNUMBER(SEARCH(物件概要!$K$3:$K$50,B26)),0)),IFERROR(INDEX('物件概要(2)'!$L$3:$L$49,MATCH(1,('物件概要(2)'!$K$3:$K$49&lt;&gt;"")*ISNUMBER(SEARCH('物件概要(2)'!$K$3:$K$49,B26)),0)),""))</f>
        <v/>
      </c>
      <c r="L26" s="206" t="n"/>
      <c r="M26" s="211">
        <f t="array" ref="M26">IFERROR(INDEX('物件概要(2)'!$N$3:$N$49,MATCH(1,('物件概要(2)'!$M$3:$M$49&lt;&gt;"")*ISNUMBER(SEARCH('物件概要(2)'!$M$3:$M$49,B26)),0)),"")</f>
        <v/>
      </c>
      <c r="N26" s="206" t="n"/>
      <c r="P26" s="201" t="inlineStr">
        <is>
          <t>平場長尺シート撤去</t>
        </is>
      </c>
    </row>
    <row r="27" ht="25.95" customHeight="1" s="7">
      <c r="A27" s="256" t="inlineStr"/>
      <c r="B27" s="564" t="n"/>
      <c r="C27" s="651" t="n"/>
      <c r="D27" s="258" t="n"/>
      <c r="E27" s="651" t="n"/>
      <c r="F27" s="260">
        <f>IF(L27&lt;&gt;"",L27,K27)</f>
        <v/>
      </c>
      <c r="G27" s="258" t="n"/>
      <c r="H27" s="828">
        <f>IF(N27&lt;&gt;"",N27,M27)</f>
        <v/>
      </c>
      <c r="I27" s="827">
        <f>IFERROR(F27*H27,"")</f>
        <v/>
      </c>
      <c r="J27" s="203" t="n"/>
      <c r="K27" s="209">
        <f t="array" ref="K27">IFERROR(INDEX(物件概要!$L$3:$L$50,MATCH(1,(物件概要!$K$3:$K$50&lt;&gt;"")*ISNUMBER(SEARCH(物件概要!$K$3:$K$50,B27)),0)),IFERROR(INDEX('物件概要(2)'!$L$3:$L$49,MATCH(1,('物件概要(2)'!$K$3:$K$49&lt;&gt;"")*ISNUMBER(SEARCH('物件概要(2)'!$K$3:$K$49,B27)),0)),""))</f>
        <v/>
      </c>
      <c r="L27" s="206" t="n"/>
      <c r="M27" s="211">
        <f t="array" ref="M27">IFERROR(INDEX('物件概要(2)'!$N$3:$N$49,MATCH(1,('物件概要(2)'!$M$3:$M$49&lt;&gt;"")*ISNUMBER(SEARCH('物件概要(2)'!$M$3:$M$49,B27)),0)),"")</f>
        <v/>
      </c>
      <c r="N27" s="206" t="n"/>
      <c r="P27" s="201" t="inlineStr">
        <is>
          <t>階段ステップ撤去</t>
        </is>
      </c>
    </row>
    <row r="28" ht="25.95" customHeight="1" s="7">
      <c r="A28" s="262" t="inlineStr"/>
      <c r="B28" s="566" t="n"/>
      <c r="C28" s="808" t="n"/>
      <c r="D28" s="829" t="n"/>
      <c r="E28" s="808" t="n"/>
      <c r="F28" s="263">
        <f>IF(L28&lt;&gt;"",L28,K28)</f>
        <v/>
      </c>
      <c r="G28" s="264" t="n"/>
      <c r="H28" s="830">
        <f>IF(N28&lt;&gt;"",N28,M28)</f>
        <v/>
      </c>
      <c r="I28" s="831">
        <f>IFERROR(F28*H28,"")</f>
        <v/>
      </c>
      <c r="J28" s="203" t="n"/>
      <c r="K28" s="209">
        <f t="array" ref="K28">IFERROR(INDEX(物件概要!$L$3:$L$50,MATCH(1,(物件概要!$K$3:$K$50&lt;&gt;"")*ISNUMBER(SEARCH(物件概要!$K$3:$K$50,B28)),0)),IFERROR(INDEX('物件概要(2)'!$L$3:$L$49,MATCH(1,('物件概要(2)'!$K$3:$K$49&lt;&gt;"")*ISNUMBER(SEARCH('物件概要(2)'!$K$3:$K$49,B28)),0)),""))</f>
        <v/>
      </c>
      <c r="L28" s="206" t="n"/>
      <c r="M28" s="211">
        <f t="array" ref="M28">IFERROR(INDEX('物件概要(2)'!$N$3:$N$49,MATCH(1,('物件概要(2)'!$M$3:$M$49&lt;&gt;"")*ISNUMBER(SEARCH('物件概要(2)'!$M$3:$M$49,B28)),0)),"")</f>
        <v/>
      </c>
      <c r="N28" s="206" t="n"/>
    </row>
    <row r="29" ht="20.1" customHeight="1" s="7">
      <c r="A29" s="231" t="n"/>
      <c r="B29" s="555" t="n"/>
      <c r="C29" s="556" t="n"/>
      <c r="D29" s="556" t="n"/>
      <c r="E29" s="179" t="n"/>
      <c r="F29" s="4" t="n"/>
      <c r="G29" s="4" t="n"/>
      <c r="H29" s="4" t="n"/>
      <c r="I29" s="832">
        <f>SUM(I5:I28)</f>
        <v/>
      </c>
      <c r="J29" s="203" t="n"/>
    </row>
    <row r="30" ht="20.1" customHeight="1" s="7">
      <c r="A30" s="549" t="n"/>
      <c r="B30" s="833" t="n"/>
      <c r="J30" s="203" t="n"/>
    </row>
    <row r="31" ht="20.1" customHeight="1" s="7">
      <c r="A31" s="822" t="n"/>
      <c r="B31" s="834" t="n"/>
      <c r="C31" s="835" t="n"/>
      <c r="D31" s="820" t="n"/>
      <c r="E31" s="820" t="n"/>
      <c r="F31" s="820" t="n"/>
      <c r="G31" s="820" t="n"/>
      <c r="H31" s="820" t="n"/>
      <c r="I31" s="836" t="n"/>
      <c r="J31" s="203" t="n"/>
    </row>
    <row r="32" ht="19.95" customHeight="1" s="7">
      <c r="A32" s="837" t="n"/>
      <c r="B32" s="838" t="n"/>
      <c r="C32" s="839" t="n"/>
      <c r="D32" s="807" t="n"/>
      <c r="E32" s="807" t="n"/>
      <c r="F32" s="807" t="n"/>
      <c r="G32" s="807" t="n"/>
      <c r="H32" s="807" t="n"/>
      <c r="I32" s="840" t="n"/>
      <c r="J32" s="203" t="n"/>
    </row>
    <row r="33" ht="20.1" customHeight="1" s="7">
      <c r="A33" s="232" t="n"/>
      <c r="B33" s="181" t="n"/>
      <c r="C33" s="181" t="n"/>
      <c r="D33" s="5" t="n"/>
      <c r="E33" s="5" t="n"/>
      <c r="F33" s="5" t="n"/>
      <c r="G33" s="5" t="n"/>
      <c r="H33" s="5" t="n"/>
      <c r="I33" s="5" t="n"/>
      <c r="J33" s="203" t="n"/>
    </row>
    <row r="34" ht="20.1" customHeight="1" s="7">
      <c r="A34" s="233" t="n"/>
      <c r="B34" s="182" t="n"/>
      <c r="C34" s="182" t="n"/>
      <c r="D34" s="6" t="n"/>
      <c r="E34" s="6" t="n"/>
      <c r="F34" s="6" t="n"/>
      <c r="G34" s="6" t="n"/>
      <c r="H34" s="6" t="n"/>
      <c r="I34" s="6" t="n"/>
    </row>
    <row r="35" ht="20.1" customHeight="1" s="7">
      <c r="A35" s="201" t="n"/>
      <c r="B35" s="183" t="n"/>
      <c r="C35" s="183" t="n"/>
      <c r="D35" s="1" t="n"/>
      <c r="E35" s="1" t="n"/>
      <c r="F35" s="1" t="n"/>
      <c r="G35" s="1" t="n"/>
      <c r="H35" s="1" t="n"/>
      <c r="I35" s="1" t="n"/>
    </row>
    <row r="36" ht="20.1" customHeight="1" s="7"/>
    <row r="37" ht="20.1" customHeight="1" s="7"/>
    <row r="38" ht="20.1" customHeight="1" s="7"/>
    <row r="39" ht="20.1" customHeight="1" s="7"/>
    <row r="40" ht="20.1" customFormat="1" customHeight="1" s="1">
      <c r="A40" s="201" t="n"/>
      <c r="B40" s="183" t="n"/>
      <c r="C40" s="183" t="n"/>
      <c r="K40" s="210" t="n"/>
      <c r="M40" s="210" t="n"/>
      <c r="P40" s="201" t="n"/>
    </row>
    <row r="41" ht="20.1" customFormat="1" customHeight="1" s="1">
      <c r="A41" s="201" t="n"/>
      <c r="B41" s="207" t="n"/>
      <c r="C41" s="207" t="n"/>
      <c r="D41" s="18" t="n"/>
      <c r="E41" s="18" t="n"/>
      <c r="F41" s="18" t="n"/>
      <c r="G41" s="18" t="n"/>
      <c r="H41" s="18" t="n"/>
      <c r="I41" s="18" t="n"/>
      <c r="K41" s="210" t="n"/>
      <c r="M41" s="210" t="n"/>
      <c r="P41" s="201" t="n"/>
    </row>
    <row r="42" ht="18" customHeight="1" s="7"/>
    <row r="43" ht="18" customHeight="1" s="7"/>
    <row r="44" ht="18" customHeight="1" s="7"/>
    <row r="45" ht="18" customHeight="1" s="7"/>
    <row r="46" ht="18" customHeight="1" s="7"/>
    <row r="47" ht="18" customHeight="1" s="7"/>
    <row r="48" ht="18" customHeight="1" s="7"/>
    <row r="49" ht="18" customHeight="1" s="7"/>
    <row r="50" ht="18" customHeight="1" s="7"/>
    <row r="51" ht="18" customHeight="1" s="7"/>
    <row r="63" ht="19.8" customHeight="1" s="7">
      <c r="K63" s="210" t="n"/>
    </row>
    <row r="64" ht="19.8" customHeight="1" s="7">
      <c r="K64" s="210" t="n"/>
    </row>
    <row r="65" ht="19.8" customHeight="1" s="7">
      <c r="K65" s="210" t="n"/>
    </row>
  </sheetData>
  <mergeCells count="55">
    <mergeCell ref="D20:E20"/>
    <mergeCell ref="B16:C16"/>
    <mergeCell ref="D10:E10"/>
    <mergeCell ref="B7:C7"/>
    <mergeCell ref="B25:C25"/>
    <mergeCell ref="D19:E19"/>
    <mergeCell ref="B22:C22"/>
    <mergeCell ref="C32:I32"/>
    <mergeCell ref="D22:E22"/>
    <mergeCell ref="B29:D29"/>
    <mergeCell ref="B27:C27"/>
    <mergeCell ref="A30:B32"/>
    <mergeCell ref="B18:C18"/>
    <mergeCell ref="B12:C12"/>
    <mergeCell ref="D21:E21"/>
    <mergeCell ref="D6:E6"/>
    <mergeCell ref="B21:C21"/>
    <mergeCell ref="B11:C11"/>
    <mergeCell ref="D11:E11"/>
    <mergeCell ref="D13:E13"/>
    <mergeCell ref="D27:E27"/>
    <mergeCell ref="B23:C23"/>
    <mergeCell ref="B14:C14"/>
    <mergeCell ref="B17:C17"/>
    <mergeCell ref="A4:C4"/>
    <mergeCell ref="D17:E17"/>
    <mergeCell ref="B8:C8"/>
    <mergeCell ref="B13:C13"/>
    <mergeCell ref="D16:E16"/>
    <mergeCell ref="D7:E7"/>
    <mergeCell ref="B19:C19"/>
    <mergeCell ref="B28:C28"/>
    <mergeCell ref="D28:E28"/>
    <mergeCell ref="D4:E4"/>
    <mergeCell ref="D18:E18"/>
    <mergeCell ref="B9:C9"/>
    <mergeCell ref="D9:E9"/>
    <mergeCell ref="D12:E12"/>
    <mergeCell ref="D25:E25"/>
    <mergeCell ref="D8:E8"/>
    <mergeCell ref="B6:C6"/>
    <mergeCell ref="B24:C24"/>
    <mergeCell ref="C31:I31"/>
    <mergeCell ref="D24:E24"/>
    <mergeCell ref="B15:C15"/>
    <mergeCell ref="D15:E15"/>
    <mergeCell ref="B5:C5"/>
    <mergeCell ref="B20:C20"/>
    <mergeCell ref="D5:E5"/>
    <mergeCell ref="D23:E23"/>
    <mergeCell ref="A1:I1"/>
    <mergeCell ref="D14:E14"/>
    <mergeCell ref="B26:C26"/>
    <mergeCell ref="D26:E26"/>
    <mergeCell ref="B2:D2"/>
  </mergeCells>
  <dataValidations count="3">
    <dataValidation sqref="B2" showDropDown="0" showInputMessage="1" showErrorMessage="1" allowBlank="1" type="list">
      <formula1>項目</formula1>
    </dataValidation>
    <dataValidation sqref="G5:G28" showDropDown="0" showInputMessage="0" showErrorMessage="0" allowBlank="1" type="list">
      <formula1>"㎡,m,式,箇所,基,台,個,段"</formula1>
    </dataValidation>
    <dataValidation sqref="B5:B9 B11:B28" showDropDown="0" showInputMessage="0" showErrorMessage="0" allowBlank="1" type="list">
      <formula1>"）仮設工事関係,）災害防止関係,）養生工事関係,）素地調整関係,）補修工事関係,）シーリング工事関係,）塗装工事関係,）防水工事関係,）タイル工事関係,）左官工事関係,）内装工事関係,）建具工事関係,）設備工事関係,）電気工事関係,）外構工事関係,）解体工事関係,）美装工事関係,）雑工事関係"</formula1>
    </dataValidation>
  </dataValidations>
  <printOptions horizontalCentered="1" verticalCentered="1"/>
  <pageMargins left="0.07874015748031496" right="0.07874015748031496" top="0" bottom="0" header="0" footer="0"/>
  <pageSetup orientation="portrait" paperSize="9" scale="98"/>
</worksheet>
</file>

<file path=xl/worksheets/sheet5.xml><?xml version="1.0" encoding="utf-8"?>
<worksheet xmlns="http://schemas.openxmlformats.org/spreadsheetml/2006/main">
  <sheetPr codeName="Sheet4">
    <outlinePr summaryBelow="1" summaryRight="1"/>
    <pageSetUpPr fitToPage="1"/>
  </sheetPr>
  <dimension ref="A1:R65"/>
  <sheetViews>
    <sheetView showGridLines="0" zoomScaleNormal="100" zoomScaleSheetLayoutView="90" workbookViewId="0">
      <selection activeCell="B2" sqref="B2:D2"/>
    </sheetView>
  </sheetViews>
  <sheetFormatPr baseColWidth="8" defaultColWidth="5.59765625" defaultRowHeight="30" customHeight="1"/>
  <cols>
    <col width="3.19921875" customWidth="1" style="234" min="1" max="1"/>
    <col width="10.09765625" customWidth="1" style="207" min="2" max="3"/>
    <col width="8.69921875" customWidth="1" style="18" min="4" max="4"/>
    <col width="24.69921875" customWidth="1" style="18" min="5" max="5"/>
    <col width="8" customWidth="1" style="179" min="6" max="6"/>
    <col width="6.69921875" customWidth="1" style="179" min="7" max="7"/>
    <col width="12.3984375" customWidth="1" style="18" min="8" max="8"/>
    <col width="13.19921875" customWidth="1" style="18" min="9" max="9"/>
    <col width="5.59765625" customWidth="1" style="18" min="10" max="10"/>
    <col width="8.59765625" customWidth="1" style="18" min="12" max="12"/>
    <col width="8.59765625" customWidth="1" style="18" min="14" max="14"/>
    <col width="5.59765625" customWidth="1" style="18" min="15" max="15"/>
    <col width="20.59765625" customWidth="1" style="201" min="16" max="16"/>
    <col width="5.59765625" customWidth="1" style="18" min="17" max="17"/>
    <col width="20.09765625" customWidth="1" style="179" min="18" max="18"/>
    <col width="5.59765625" customWidth="1" style="18" min="19" max="16384"/>
  </cols>
  <sheetData>
    <row r="1">
      <c r="A1" s="495" t="inlineStr">
        <is>
          <t>内訳明細書</t>
        </is>
      </c>
      <c r="B1" s="179" t="n"/>
      <c r="C1" s="179" t="n"/>
      <c r="D1" s="179" t="n"/>
      <c r="E1" s="179" t="n"/>
      <c r="F1" s="179" t="n"/>
      <c r="G1" s="179" t="n"/>
      <c r="H1" s="179" t="n"/>
      <c r="I1" s="179" t="n"/>
      <c r="J1" s="203" t="n"/>
      <c r="P1" s="200" t="inlineStr">
        <is>
          <t>単価</t>
        </is>
      </c>
      <c r="R1" s="204" t="n"/>
    </row>
    <row r="2" ht="27" customHeight="1" s="7" thickBot="1">
      <c r="A2" s="205" t="n"/>
      <c r="B2" s="567" t="n"/>
      <c r="C2" s="788" t="n"/>
      <c r="D2" s="788" t="n"/>
      <c r="E2" s="184" t="n"/>
      <c r="F2" s="2" t="n"/>
      <c r="G2" s="2" t="n"/>
      <c r="H2" s="205" t="n"/>
      <c r="I2" s="2" t="n"/>
      <c r="J2" s="203" t="n"/>
      <c r="P2" s="201" t="inlineStr">
        <is>
          <t>キー</t>
        </is>
      </c>
    </row>
    <row r="3" ht="19.05" customHeight="1" s="7" thickTop="1">
      <c r="A3" s="205" t="n"/>
      <c r="B3" s="180" t="n"/>
      <c r="C3" s="180" t="n"/>
      <c r="D3" s="2" t="n"/>
      <c r="E3" s="2" t="n"/>
      <c r="F3" s="3" t="n"/>
      <c r="G3" s="3" t="n"/>
      <c r="H3" s="3" t="n"/>
      <c r="I3" s="3" t="n"/>
      <c r="J3" s="203" t="n"/>
      <c r="K3" s="0" t="inlineStr">
        <is>
          <t>数量</t>
        </is>
      </c>
      <c r="M3" s="0" t="inlineStr">
        <is>
          <t>単価</t>
        </is>
      </c>
      <c r="P3" s="201" t="inlineStr">
        <is>
          <t>外壁下塗り</t>
        </is>
      </c>
    </row>
    <row r="4" ht="18.45" customHeight="1" s="7">
      <c r="A4" s="549" t="inlineStr">
        <is>
          <t>名称</t>
        </is>
      </c>
      <c r="B4" s="794" t="n"/>
      <c r="C4" s="825" t="n"/>
      <c r="D4" s="549" t="inlineStr">
        <is>
          <t>仕様</t>
        </is>
      </c>
      <c r="E4" s="825" t="n"/>
      <c r="F4" s="560" t="inlineStr">
        <is>
          <t>数量</t>
        </is>
      </c>
      <c r="G4" s="558" t="inlineStr">
        <is>
          <t>単位</t>
        </is>
      </c>
      <c r="H4" s="249" t="inlineStr">
        <is>
          <t>単価</t>
        </is>
      </c>
      <c r="I4" s="549" t="inlineStr">
        <is>
          <t>金額</t>
        </is>
      </c>
      <c r="J4" s="203" t="n"/>
      <c r="K4" s="208" t="inlineStr">
        <is>
          <t>自動</t>
        </is>
      </c>
      <c r="L4" s="199" t="inlineStr">
        <is>
          <t>手入力</t>
        </is>
      </c>
      <c r="M4" s="208" t="inlineStr">
        <is>
          <t>自動</t>
        </is>
      </c>
      <c r="N4" s="199" t="inlineStr">
        <is>
          <t>手入力</t>
        </is>
      </c>
      <c r="P4" s="201" t="inlineStr">
        <is>
          <t>外壁中/上塗り</t>
        </is>
      </c>
    </row>
    <row r="5" ht="25.95" customHeight="1" s="7">
      <c r="A5" s="251" t="inlineStr"/>
      <c r="B5" s="562" t="n"/>
      <c r="C5" s="821" t="n"/>
      <c r="D5" s="253" t="n"/>
      <c r="E5" s="821" t="n"/>
      <c r="F5" s="252">
        <f>IF(L5&lt;&gt;"",L5,K5)</f>
        <v/>
      </c>
      <c r="G5" s="253" t="n"/>
      <c r="H5" s="826">
        <f>IF(N5&lt;&gt;"",N5,M5)</f>
        <v/>
      </c>
      <c r="I5" s="827">
        <f>IFERROR(F5*H5,"")</f>
        <v/>
      </c>
      <c r="J5" s="203" t="n"/>
      <c r="K5" s="209">
        <f t="array" ref="K5">IFERROR(INDEX(物件概要!$L$3:$L$50,MATCH(1,(物件概要!$K$3:$K$50&lt;&gt;"")*ISNUMBER(SEARCH(物件概要!$K$3:$K$50,B5)),0)),IFERROR(INDEX('物件概要(2)'!$L$3:$L$49,MATCH(1,('物件概要(2)'!$K$3:$K$49&lt;&gt;"")*ISNUMBER(SEARCH('物件概要(2)'!$K$3:$K$49,B5)),0)),""))</f>
        <v/>
      </c>
      <c r="L5" s="206" t="n"/>
      <c r="M5" s="211">
        <f t="array" ref="M5">IFERROR(INDEX('物件概要(2)'!$N$3:$N$49,MATCH(1,('物件概要(2)'!$M$3:$M$49&lt;&gt;"")*ISNUMBER(SEARCH('物件概要(2)'!$M$3:$M$49,B5)),0)),"")</f>
        <v/>
      </c>
      <c r="N5" s="206" t="n"/>
      <c r="P5" s="201" t="inlineStr">
        <is>
          <t>屋根下塗り</t>
        </is>
      </c>
    </row>
    <row r="6" ht="25.95" customHeight="1" s="7">
      <c r="A6" s="256" t="inlineStr"/>
      <c r="B6" s="564" t="n"/>
      <c r="C6" s="651" t="n"/>
      <c r="D6" s="258" t="n"/>
      <c r="E6" s="651" t="n"/>
      <c r="F6" s="257">
        <f>IF(L6&lt;&gt;"",L6,K6)</f>
        <v/>
      </c>
      <c r="G6" s="258" t="n"/>
      <c r="H6" s="828">
        <f>IF(N6&lt;&gt;"",N6,M6)</f>
        <v/>
      </c>
      <c r="I6" s="827">
        <f>IFERROR(F6*H6,"")</f>
        <v/>
      </c>
      <c r="J6" s="203" t="n"/>
      <c r="K6" s="209">
        <f t="array" ref="K6">IFERROR(INDEX(物件概要!$L$3:$L$50,MATCH(1,(物件概要!$K$3:$K$50&lt;&gt;"")*ISNUMBER(SEARCH(物件概要!$K$3:$K$50,B6)),0)),IFERROR(INDEX('物件概要(2)'!$L$3:$L$49,MATCH(1,('物件概要(2)'!$K$3:$K$49&lt;&gt;"")*ISNUMBER(SEARCH('物件概要(2)'!$K$3:$K$49,B6)),0)),""))</f>
        <v/>
      </c>
      <c r="L6" s="206" t="n"/>
      <c r="M6" s="211">
        <f t="array" ref="M6">IFERROR(INDEX('物件概要(2)'!$N$3:$N$49,MATCH(1,('物件概要(2)'!$M$3:$M$49&lt;&gt;"")*ISNUMBER(SEARCH('物件概要(2)'!$M$3:$M$49,B6)),0)),"")</f>
        <v/>
      </c>
      <c r="N6" s="206" t="n"/>
      <c r="P6" s="201" t="inlineStr">
        <is>
          <t>屋根中/上塗り</t>
        </is>
      </c>
    </row>
    <row r="7" ht="25.95" customHeight="1" s="7">
      <c r="A7" s="256" t="inlineStr"/>
      <c r="B7" s="564" t="n"/>
      <c r="C7" s="651" t="n"/>
      <c r="D7" s="258" t="n"/>
      <c r="E7" s="651" t="n"/>
      <c r="F7" s="260">
        <f>IF(L7&lt;&gt;"",L7,K7)</f>
        <v/>
      </c>
      <c r="G7" s="258" t="n"/>
      <c r="H7" s="828">
        <f>IF(N7&lt;&gt;"",N7,M7)</f>
        <v/>
      </c>
      <c r="I7" s="827">
        <f>IFERROR(F7*H7,"")</f>
        <v/>
      </c>
      <c r="J7" s="203" t="n"/>
      <c r="K7" s="209">
        <f t="array" ref="K7">IFERROR(INDEX(物件概要!$L$3:$L$50,MATCH(1,(物件概要!$K$3:$K$50&lt;&gt;"")*ISNUMBER(SEARCH(物件概要!$K$3:$K$50,B7)),0)),IFERROR(INDEX('物件概要(2)'!$L$3:$L$49,MATCH(1,('物件概要(2)'!$K$3:$K$49&lt;&gt;"")*ISNUMBER(SEARCH('物件概要(2)'!$K$3:$K$49,B7)),0)),""))</f>
        <v/>
      </c>
      <c r="L7" s="206" t="n"/>
      <c r="M7" s="211">
        <f t="array" ref="M7">IFERROR(INDEX('物件概要(2)'!$N$3:$N$49,MATCH(1,('物件概要(2)'!$M$3:$M$49&lt;&gt;"")*ISNUMBER(SEARCH('物件概要(2)'!$M$3:$M$49,B7)),0)),"")</f>
        <v/>
      </c>
      <c r="N7" s="206" t="n"/>
      <c r="P7" s="201" t="inlineStr">
        <is>
          <t>外部足場組立・解体費</t>
        </is>
      </c>
    </row>
    <row r="8" ht="25.95" customHeight="1" s="7">
      <c r="A8" s="256" t="inlineStr"/>
      <c r="B8" s="564" t="n"/>
      <c r="C8" s="651" t="n"/>
      <c r="D8" s="258" t="n"/>
      <c r="E8" s="651" t="n"/>
      <c r="F8" s="260">
        <f>IF(L8&lt;&gt;"",L8,K8)</f>
        <v/>
      </c>
      <c r="G8" s="258" t="n"/>
      <c r="H8" s="828">
        <f>IF(N8&lt;&gt;"",N8,M8)</f>
        <v/>
      </c>
      <c r="I8" s="827">
        <f>IFERROR(F8*H8,"")</f>
        <v/>
      </c>
      <c r="J8" s="203" t="n"/>
      <c r="K8" s="209">
        <f t="array" ref="K8">IFERROR(INDEX(物件概要!$L$3:$L$50,MATCH(1,(物件概要!$K$3:$K$50&lt;&gt;"")*ISNUMBER(SEARCH(物件概要!$K$3:$K$50,B8)),0)),IFERROR(INDEX('物件概要(2)'!$L$3:$L$49,MATCH(1,('物件概要(2)'!$K$3:$K$49&lt;&gt;"")*ISNUMBER(SEARCH('物件概要(2)'!$K$3:$K$49,B8)),0)),""))</f>
        <v/>
      </c>
      <c r="L8" s="206" t="n"/>
      <c r="M8" s="211">
        <f t="array" ref="M8">IFERROR(INDEX('物件概要(2)'!$N$3:$N$49,MATCH(1,('物件概要(2)'!$M$3:$M$49&lt;&gt;"")*ISNUMBER(SEARCH('物件概要(2)'!$M$3:$M$49,B8)),0)),"")</f>
        <v/>
      </c>
      <c r="N8" s="206" t="n"/>
      <c r="P8" s="201" t="inlineStr">
        <is>
          <t>足場養生メッシュシート張り</t>
        </is>
      </c>
    </row>
    <row r="9" ht="25.95" customHeight="1" s="7">
      <c r="A9" s="256" t="inlineStr"/>
      <c r="B9" s="564" t="n"/>
      <c r="C9" s="651" t="n"/>
      <c r="D9" s="258" t="n"/>
      <c r="E9" s="651" t="n"/>
      <c r="F9" s="260">
        <f>IF(L9&lt;&gt;"",L9,K9)</f>
        <v/>
      </c>
      <c r="G9" s="258" t="n"/>
      <c r="H9" s="828">
        <f>IF(N9&lt;&gt;"",N9,M9)</f>
        <v/>
      </c>
      <c r="I9" s="827">
        <f>IFERROR(F9*H9,"")</f>
        <v/>
      </c>
      <c r="J9" s="203" t="n"/>
      <c r="K9" s="209">
        <f t="array" ref="K9">IFERROR(INDEX(物件概要!$L$3:$L$50,MATCH(1,(物件概要!$K$3:$K$50&lt;&gt;"")*ISNUMBER(SEARCH(物件概要!$K$3:$K$50,B9)),0)),IFERROR(INDEX('物件概要(2)'!$L$3:$L$49,MATCH(1,('物件概要(2)'!$K$3:$K$49&lt;&gt;"")*ISNUMBER(SEARCH('物件概要(2)'!$K$3:$K$49,B9)),0)),""))</f>
        <v/>
      </c>
      <c r="L9" s="206" t="n"/>
      <c r="M9" s="211">
        <f t="array" ref="M9">IFERROR(INDEX('物件概要(2)'!$N$3:$N$49,MATCH(1,('物件概要(2)'!$M$3:$M$49&lt;&gt;"")*ISNUMBER(SEARCH('物件概要(2)'!$M$3:$M$49,B9)),0)),"")</f>
        <v/>
      </c>
      <c r="N9" s="206" t="n"/>
      <c r="P9" s="201" t="inlineStr">
        <is>
          <t>下地調査費</t>
        </is>
      </c>
    </row>
    <row r="10" ht="25.95" customHeight="1" s="7">
      <c r="A10" s="256" t="inlineStr"/>
      <c r="B10" s="261" t="n"/>
      <c r="C10" s="261" t="n"/>
      <c r="D10" s="258" t="n"/>
      <c r="E10" s="651" t="n"/>
      <c r="F10" s="260">
        <f>IF(L10&lt;&gt;"",L10,K10)</f>
        <v/>
      </c>
      <c r="G10" s="258" t="n"/>
      <c r="H10" s="828">
        <f>IF(N10&lt;&gt;"",N10,M10)</f>
        <v/>
      </c>
      <c r="I10" s="827">
        <f>IFERROR(F10*H10,"")</f>
        <v/>
      </c>
      <c r="J10" s="203" t="n"/>
      <c r="K10" s="209">
        <f t="array" ref="K10">IFERROR(INDEX(物件概要!$L$3:$L$50,MATCH(1,(物件概要!$K$3:$K$50&lt;&gt;"")*ISNUMBER(SEARCH(物件概要!$K$3:$K$50,B10)),0)),IFERROR(INDEX('物件概要(2)'!$L$3:$L$49,MATCH(1,('物件概要(2)'!$K$3:$K$49&lt;&gt;"")*ISNUMBER(SEARCH('物件概要(2)'!$K$3:$K$49,B10)),0)),""))</f>
        <v/>
      </c>
      <c r="L10" s="206" t="n"/>
      <c r="M10" s="211">
        <f t="array" ref="M10">IFERROR(INDEX('物件概要(2)'!$N$3:$N$49,MATCH(1,('物件概要(2)'!$M$3:$M$49&lt;&gt;"")*ISNUMBER(SEARCH('物件概要(2)'!$M$3:$M$49,B10)),0)),"")</f>
        <v/>
      </c>
      <c r="N10" s="206" t="n"/>
      <c r="P10" s="201" t="inlineStr">
        <is>
          <t>高圧洗浄</t>
        </is>
      </c>
    </row>
    <row r="11" ht="25.95" customHeight="1" s="7">
      <c r="A11" s="256" t="inlineStr"/>
      <c r="B11" s="564" t="n"/>
      <c r="C11" s="651" t="n"/>
      <c r="D11" s="258" t="n"/>
      <c r="E11" s="651" t="n"/>
      <c r="F11" s="260">
        <f>IF(L11&lt;&gt;"",L11,K11)</f>
        <v/>
      </c>
      <c r="G11" s="258" t="n"/>
      <c r="H11" s="828">
        <f>IF(N11&lt;&gt;"",N11,M11)</f>
        <v/>
      </c>
      <c r="I11" s="827">
        <f>IFERROR(F11*H11,"")</f>
        <v/>
      </c>
      <c r="J11" s="203" t="n"/>
      <c r="K11" s="209">
        <f t="array" ref="K11">IFERROR(INDEX(物件概要!$L$3:$L$50,MATCH(1,(物件概要!$K$3:$K$50&lt;&gt;"")*ISNUMBER(SEARCH(物件概要!$K$3:$K$50,B11)),0)),IFERROR(INDEX('物件概要(2)'!$L$3:$L$49,MATCH(1,('物件概要(2)'!$K$3:$K$49&lt;&gt;"")*ISNUMBER(SEARCH('物件概要(2)'!$K$3:$K$49,B11)),0)),""))</f>
        <v/>
      </c>
      <c r="L11" s="206" t="n"/>
      <c r="M11" s="211">
        <f t="array" ref="M11">IFERROR(INDEX('物件概要(2)'!$N$3:$N$49,MATCH(1,('物件概要(2)'!$M$3:$M$49&lt;&gt;"")*ISNUMBER(SEARCH('物件概要(2)'!$M$3:$M$49,B11)),0)),"")</f>
        <v/>
      </c>
      <c r="N11" s="206" t="n"/>
      <c r="P11" s="201" t="inlineStr">
        <is>
          <t>軒天下塗り</t>
        </is>
      </c>
    </row>
    <row r="12" ht="25.95" customHeight="1" s="7">
      <c r="A12" s="256" t="inlineStr"/>
      <c r="B12" s="564" t="n"/>
      <c r="C12" s="651" t="n"/>
      <c r="D12" s="258" t="n"/>
      <c r="E12" s="651" t="n"/>
      <c r="F12" s="260">
        <f>IF(L12&lt;&gt;"",L12,K12)</f>
        <v/>
      </c>
      <c r="G12" s="258" t="n"/>
      <c r="H12" s="828">
        <f>IF(N12&lt;&gt;"",N12,M12)</f>
        <v/>
      </c>
      <c r="I12" s="827">
        <f>IFERROR(F12*H12,"")</f>
        <v/>
      </c>
      <c r="J12" s="203" t="n"/>
      <c r="K12" s="209">
        <f t="array" ref="K12">IFERROR(INDEX(物件概要!$L$3:$L$50,MATCH(1,(物件概要!$K$3:$K$50&lt;&gt;"")*ISNUMBER(SEARCH(物件概要!$K$3:$K$50,B12)),0)),IFERROR(INDEX('物件概要(2)'!$L$3:$L$49,MATCH(1,('物件概要(2)'!$K$3:$K$49&lt;&gt;"")*ISNUMBER(SEARCH('物件概要(2)'!$K$3:$K$49,B12)),0)),""))</f>
        <v/>
      </c>
      <c r="L12" s="206" t="n"/>
      <c r="M12" s="211">
        <f t="array" ref="M12">IFERROR(INDEX('物件概要(2)'!$N$3:$N$49,MATCH(1,('物件概要(2)'!$M$3:$M$49&lt;&gt;"")*ISNUMBER(SEARCH('物件概要(2)'!$M$3:$M$49,B12)),0)),"")</f>
        <v/>
      </c>
      <c r="N12" s="206" t="n"/>
      <c r="P12" s="201" t="inlineStr">
        <is>
          <t>軒天中/上塗り</t>
        </is>
      </c>
    </row>
    <row r="13" ht="25.95" customHeight="1" s="7">
      <c r="A13" s="256" t="inlineStr"/>
      <c r="B13" s="564" t="n"/>
      <c r="C13" s="651" t="n"/>
      <c r="D13" s="258" t="n"/>
      <c r="E13" s="651" t="n"/>
      <c r="F13" s="260">
        <f>IF(L13&lt;&gt;"",L13,K13)</f>
        <v/>
      </c>
      <c r="G13" s="258" t="n"/>
      <c r="H13" s="828">
        <f>IF(N13&lt;&gt;"",N13,M13)</f>
        <v/>
      </c>
      <c r="I13" s="827">
        <f>IFERROR(F13*H13,"")</f>
        <v/>
      </c>
      <c r="J13" s="203" t="n"/>
      <c r="K13" s="209">
        <f t="array" ref="K13">IFERROR(INDEX(物件概要!$L$3:$L$50,MATCH(1,(物件概要!$K$3:$K$50&lt;&gt;"")*ISNUMBER(SEARCH(物件概要!$K$3:$K$50,B13)),0)),IFERROR(INDEX('物件概要(2)'!$L$3:$L$49,MATCH(1,('物件概要(2)'!$K$3:$K$49&lt;&gt;"")*ISNUMBER(SEARCH('物件概要(2)'!$K$3:$K$49,B13)),0)),""))</f>
        <v/>
      </c>
      <c r="L13" s="206" t="n"/>
      <c r="M13" s="211">
        <f t="array" ref="M13">IFERROR(INDEX('物件概要(2)'!$N$3:$N$49,MATCH(1,('物件概要(2)'!$M$3:$M$49&lt;&gt;"")*ISNUMBER(SEARCH('物件概要(2)'!$M$3:$M$49,B13)),0)),"")</f>
        <v/>
      </c>
      <c r="N13" s="206" t="n"/>
      <c r="P13" s="201" t="inlineStr">
        <is>
          <t>軒樋下塗り</t>
        </is>
      </c>
    </row>
    <row r="14" ht="25.95" customHeight="1" s="7">
      <c r="A14" s="256" t="inlineStr"/>
      <c r="B14" s="564" t="n"/>
      <c r="C14" s="651" t="n"/>
      <c r="D14" s="258" t="n"/>
      <c r="E14" s="651" t="n"/>
      <c r="F14" s="260">
        <f>IF(L14&lt;&gt;"",L14,K14)</f>
        <v/>
      </c>
      <c r="G14" s="258" t="n"/>
      <c r="H14" s="828">
        <f>IF(N14&lt;&gt;"",N14,M14)</f>
        <v/>
      </c>
      <c r="I14" s="827">
        <f>IFERROR(F14*H14,"")</f>
        <v/>
      </c>
      <c r="J14" s="203" t="n"/>
      <c r="K14" s="209">
        <f t="array" ref="K14">IFERROR(INDEX(物件概要!$L$3:$L$50,MATCH(1,(物件概要!$K$3:$K$50&lt;&gt;"")*ISNUMBER(SEARCH(物件概要!$K$3:$K$50,B14)),0)),IFERROR(INDEX('物件概要(2)'!$L$3:$L$49,MATCH(1,('物件概要(2)'!$K$3:$K$49&lt;&gt;"")*ISNUMBER(SEARCH('物件概要(2)'!$K$3:$K$49,B14)),0)),""))</f>
        <v/>
      </c>
      <c r="L14" s="206" t="n"/>
      <c r="M14" s="211">
        <f t="array" ref="M14">IFERROR(INDEX('物件概要(2)'!$N$3:$N$49,MATCH(1,('物件概要(2)'!$M$3:$M$49&lt;&gt;"")*ISNUMBER(SEARCH('物件概要(2)'!$M$3:$M$49,B14)),0)),"")</f>
        <v/>
      </c>
      <c r="N14" s="206" t="n"/>
      <c r="P14" s="201" t="inlineStr">
        <is>
          <t>軒樋中/上塗り</t>
        </is>
      </c>
    </row>
    <row r="15" ht="25.95" customHeight="1" s="7">
      <c r="A15" s="256" t="inlineStr"/>
      <c r="B15" s="564" t="n"/>
      <c r="C15" s="651" t="n"/>
      <c r="D15" s="258" t="n"/>
      <c r="E15" s="651" t="n"/>
      <c r="F15" s="260">
        <f>IF(L15&lt;&gt;"",L15,K15)</f>
        <v/>
      </c>
      <c r="G15" s="258" t="n"/>
      <c r="H15" s="828">
        <f>IF(N15&lt;&gt;"",N15,M15)</f>
        <v/>
      </c>
      <c r="I15" s="827">
        <f>IFERROR(F15*H15,"")</f>
        <v/>
      </c>
      <c r="J15" s="203" t="n"/>
      <c r="K15" s="209">
        <f t="array" ref="K15">IFERROR(INDEX(物件概要!$L$3:$L$50,MATCH(1,(物件概要!$K$3:$K$50&lt;&gt;"")*ISNUMBER(SEARCH(物件概要!$K$3:$K$50,B15)),0)),IFERROR(INDEX('物件概要(2)'!$L$3:$L$49,MATCH(1,('物件概要(2)'!$K$3:$K$49&lt;&gt;"")*ISNUMBER(SEARCH('物件概要(2)'!$K$3:$K$49,B15)),0)),""))</f>
        <v/>
      </c>
      <c r="L15" s="206" t="n"/>
      <c r="M15" s="211">
        <f t="array" ref="M15">IFERROR(INDEX('物件概要(2)'!$N$3:$N$49,MATCH(1,('物件概要(2)'!$M$3:$M$49&lt;&gt;"")*ISNUMBER(SEARCH('物件概要(2)'!$M$3:$M$49,B15)),0)),"")</f>
        <v/>
      </c>
      <c r="N15" s="206" t="n"/>
      <c r="P15" s="201" t="inlineStr">
        <is>
          <t>竪樋下塗り</t>
        </is>
      </c>
    </row>
    <row r="16" ht="25.95" customHeight="1" s="7">
      <c r="A16" s="256" t="inlineStr"/>
      <c r="B16" s="564" t="n"/>
      <c r="C16" s="651" t="n"/>
      <c r="D16" s="258" t="n"/>
      <c r="E16" s="651" t="n"/>
      <c r="F16" s="260">
        <f>IF(L16&lt;&gt;"",L16,K16)</f>
        <v/>
      </c>
      <c r="G16" s="258" t="n"/>
      <c r="H16" s="828">
        <f>IF(N16&lt;&gt;"",N16,M16)</f>
        <v/>
      </c>
      <c r="I16" s="827">
        <f>IFERROR(F16*H16,"")</f>
        <v/>
      </c>
      <c r="J16" s="203" t="n"/>
      <c r="K16" s="209">
        <f t="array" ref="K16">IFERROR(INDEX(物件概要!$L$3:$L$50,MATCH(1,(物件概要!$K$3:$K$50&lt;&gt;"")*ISNUMBER(SEARCH(物件概要!$K$3:$K$50,B16)),0)),IFERROR(INDEX('物件概要(2)'!$L$3:$L$49,MATCH(1,('物件概要(2)'!$K$3:$K$49&lt;&gt;"")*ISNUMBER(SEARCH('物件概要(2)'!$K$3:$K$49,B16)),0)),""))</f>
        <v/>
      </c>
      <c r="L16" s="206" t="n"/>
      <c r="M16" s="211">
        <f t="array" ref="M16">IFERROR(INDEX('物件概要(2)'!$N$3:$N$49,MATCH(1,('物件概要(2)'!$M$3:$M$49&lt;&gt;"")*ISNUMBER(SEARCH('物件概要(2)'!$M$3:$M$49,B16)),0)),"")</f>
        <v/>
      </c>
      <c r="N16" s="206" t="n"/>
      <c r="P16" s="201" t="inlineStr">
        <is>
          <t>竪樋中/上塗り</t>
        </is>
      </c>
    </row>
    <row r="17" ht="25.95" customHeight="1" s="7">
      <c r="A17" s="256" t="inlineStr"/>
      <c r="B17" s="564" t="n"/>
      <c r="C17" s="651" t="n"/>
      <c r="D17" s="258" t="n"/>
      <c r="E17" s="651" t="n"/>
      <c r="F17" s="260">
        <f>IF(L17&lt;&gt;"",L17,K17)</f>
        <v/>
      </c>
      <c r="G17" s="258" t="n"/>
      <c r="H17" s="828">
        <f>IF(N17&lt;&gt;"",N17,M17)</f>
        <v/>
      </c>
      <c r="I17" s="827">
        <f>IFERROR(F17*H17,"")</f>
        <v/>
      </c>
      <c r="J17" s="203" t="n"/>
      <c r="K17" s="209">
        <f t="array" ref="K17">IFERROR(INDEX(物件概要!$L$3:$L$50,MATCH(1,(物件概要!$K$3:$K$50&lt;&gt;"")*ISNUMBER(SEARCH(物件概要!$K$3:$K$50,B17)),0)),IFERROR(INDEX('物件概要(2)'!$L$3:$L$49,MATCH(1,('物件概要(2)'!$K$3:$K$49&lt;&gt;"")*ISNUMBER(SEARCH('物件概要(2)'!$K$3:$K$49,B17)),0)),""))</f>
        <v/>
      </c>
      <c r="L17" s="206" t="n"/>
      <c r="M17" s="211">
        <f t="array" ref="M17">IFERROR(INDEX('物件概要(2)'!$N$3:$N$49,MATCH(1,('物件概要(2)'!$M$3:$M$49&lt;&gt;"")*ISNUMBER(SEARCH('物件概要(2)'!$M$3:$M$49,B17)),0)),"")</f>
        <v/>
      </c>
      <c r="N17" s="206" t="n"/>
      <c r="P17" s="201" t="inlineStr">
        <is>
          <t>破風下塗り</t>
        </is>
      </c>
    </row>
    <row r="18" ht="25.95" customHeight="1" s="7">
      <c r="A18" s="256" t="inlineStr"/>
      <c r="B18" s="564" t="n"/>
      <c r="C18" s="651" t="n"/>
      <c r="D18" s="258" t="n"/>
      <c r="E18" s="651" t="n"/>
      <c r="F18" s="260">
        <f>IF(L18&lt;&gt;"",L18,K18)</f>
        <v/>
      </c>
      <c r="G18" s="258" t="n"/>
      <c r="H18" s="828">
        <f>IF(N18&lt;&gt;"",N18,M18)</f>
        <v/>
      </c>
      <c r="I18" s="827">
        <f>IFERROR(F18*H18,"")</f>
        <v/>
      </c>
      <c r="J18" s="203" t="n"/>
      <c r="K18" s="209">
        <f t="array" ref="K18">IFERROR(INDEX(物件概要!$L$3:$L$50,MATCH(1,(物件概要!$K$3:$K$50&lt;&gt;"")*ISNUMBER(SEARCH(物件概要!$K$3:$K$50,B18)),0)),IFERROR(INDEX('物件概要(2)'!$L$3:$L$49,MATCH(1,('物件概要(2)'!$K$3:$K$49&lt;&gt;"")*ISNUMBER(SEARCH('物件概要(2)'!$K$3:$K$49,B18)),0)),""))</f>
        <v/>
      </c>
      <c r="L18" s="206" t="n"/>
      <c r="M18" s="211">
        <f t="array" ref="M18">IFERROR(INDEX('物件概要(2)'!$N$3:$N$49,MATCH(1,('物件概要(2)'!$M$3:$M$49&lt;&gt;"")*ISNUMBER(SEARCH('物件概要(2)'!$M$3:$M$49,B18)),0)),"")</f>
        <v/>
      </c>
      <c r="N18" s="206" t="n"/>
      <c r="P18" s="201" t="inlineStr">
        <is>
          <t>破風中塗り/上塗り</t>
        </is>
      </c>
    </row>
    <row r="19" ht="25.95" customHeight="1" s="7">
      <c r="A19" s="256" t="inlineStr"/>
      <c r="B19" s="564" t="n"/>
      <c r="C19" s="651" t="n"/>
      <c r="D19" s="258" t="n"/>
      <c r="E19" s="651" t="n"/>
      <c r="F19" s="260">
        <f>IF(L19&lt;&gt;"",L19,K19)</f>
        <v/>
      </c>
      <c r="G19" s="258" t="n"/>
      <c r="H19" s="828">
        <f>IF(N19&lt;&gt;"",N19,M19)</f>
        <v/>
      </c>
      <c r="I19" s="827">
        <f>IFERROR(F19*H19,"")</f>
        <v/>
      </c>
      <c r="J19" s="203" t="n"/>
      <c r="K19" s="209">
        <f t="array" ref="K19">IFERROR(INDEX(物件概要!$L$3:$L$50,MATCH(1,(物件概要!$K$3:$K$50&lt;&gt;"")*ISNUMBER(SEARCH(物件概要!$K$3:$K$50,B19)),0)),IFERROR(INDEX('物件概要(2)'!$L$3:$L$49,MATCH(1,('物件概要(2)'!$K$3:$K$49&lt;&gt;"")*ISNUMBER(SEARCH('物件概要(2)'!$K$3:$K$49,B19)),0)),""))</f>
        <v/>
      </c>
      <c r="L19" s="206" t="n"/>
      <c r="M19" s="211">
        <f t="array" ref="M19">IFERROR(INDEX('物件概要(2)'!$N$3:$N$49,MATCH(1,('物件概要(2)'!$M$3:$M$49&lt;&gt;"")*ISNUMBER(SEARCH('物件概要(2)'!$M$3:$M$49,B19)),0)),"")</f>
        <v/>
      </c>
      <c r="N19" s="206" t="n"/>
      <c r="P19" s="201" t="inlineStr">
        <is>
          <t>基礎塗装下塗り</t>
        </is>
      </c>
    </row>
    <row r="20" ht="25.95" customHeight="1" s="7">
      <c r="A20" s="256" t="inlineStr"/>
      <c r="B20" s="564" t="n"/>
      <c r="C20" s="651" t="n"/>
      <c r="D20" s="258" t="n"/>
      <c r="E20" s="651" t="n"/>
      <c r="F20" s="260">
        <f>IF(L20&lt;&gt;"",L20,K20)</f>
        <v/>
      </c>
      <c r="G20" s="258" t="n"/>
      <c r="H20" s="828">
        <f>IF(N20&lt;&gt;"",N20,M20)</f>
        <v/>
      </c>
      <c r="I20" s="827">
        <f>IFERROR(F20*H20,"")</f>
        <v/>
      </c>
      <c r="J20" s="203" t="n"/>
      <c r="K20" s="209">
        <f t="array" ref="K20">IFERROR(INDEX(物件概要!$L$3:$L$50,MATCH(1,(物件概要!$K$3:$K$50&lt;&gt;"")*ISNUMBER(SEARCH(物件概要!$K$3:$K$50,B20)),0)),IFERROR(INDEX('物件概要(2)'!$L$3:$L$49,MATCH(1,('物件概要(2)'!$K$3:$K$49&lt;&gt;"")*ISNUMBER(SEARCH('物件概要(2)'!$K$3:$K$49,B20)),0)),""))</f>
        <v/>
      </c>
      <c r="L20" s="206" t="n"/>
      <c r="M20" s="211">
        <f t="array" ref="M20">IFERROR(INDEX('物件概要(2)'!$N$3:$N$49,MATCH(1,('物件概要(2)'!$M$3:$M$49&lt;&gt;"")*ISNUMBER(SEARCH('物件概要(2)'!$M$3:$M$49,B20)),0)),"")</f>
        <v/>
      </c>
      <c r="N20" s="206" t="n"/>
      <c r="P20" s="201" t="inlineStr">
        <is>
          <t>基礎塗装中/上塗り</t>
        </is>
      </c>
    </row>
    <row r="21" ht="25.95" customHeight="1" s="7">
      <c r="A21" s="256" t="inlineStr"/>
      <c r="B21" s="564" t="n"/>
      <c r="C21" s="651" t="n"/>
      <c r="D21" s="258" t="n"/>
      <c r="E21" s="651" t="n"/>
      <c r="F21" s="260">
        <f>IF(L21&lt;&gt;"",L21,K21)</f>
        <v/>
      </c>
      <c r="G21" s="258" t="n"/>
      <c r="H21" s="828">
        <f>IF(N21&lt;&gt;"",N21,M21)</f>
        <v/>
      </c>
      <c r="I21" s="827">
        <f>IFERROR(F21*H21,"")</f>
        <v/>
      </c>
      <c r="J21" s="203" t="n"/>
      <c r="K21" s="209">
        <f t="array" ref="K21">IFERROR(INDEX(物件概要!$L$3:$L$50,MATCH(1,(物件概要!$K$3:$K$50&lt;&gt;"")*ISNUMBER(SEARCH(物件概要!$K$3:$K$50,B21)),0)),IFERROR(INDEX('物件概要(2)'!$L$3:$L$49,MATCH(1,('物件概要(2)'!$K$3:$K$49&lt;&gt;"")*ISNUMBER(SEARCH('物件概要(2)'!$K$3:$K$49,B21)),0)),""))</f>
        <v/>
      </c>
      <c r="L21" s="206" t="n"/>
      <c r="M21" s="211">
        <f t="array" ref="M21">IFERROR(INDEX('物件概要(2)'!$N$3:$N$49,MATCH(1,('物件概要(2)'!$M$3:$M$49&lt;&gt;"")*ISNUMBER(SEARCH('物件概要(2)'!$M$3:$M$49,B21)),0)),"")</f>
        <v/>
      </c>
      <c r="N21" s="206" t="n"/>
      <c r="P21" s="201" t="inlineStr">
        <is>
          <t>ｼｰﾙ打ち換え</t>
        </is>
      </c>
    </row>
    <row r="22" ht="25.95" customHeight="1" s="7">
      <c r="A22" s="256" t="inlineStr"/>
      <c r="B22" s="564" t="n"/>
      <c r="C22" s="651" t="n"/>
      <c r="D22" s="258" t="n"/>
      <c r="E22" s="651" t="n"/>
      <c r="F22" s="260">
        <f>IF(L22&lt;&gt;"",L22,K22)</f>
        <v/>
      </c>
      <c r="G22" s="258" t="n"/>
      <c r="H22" s="828">
        <f>IF(N22&lt;&gt;"",N22,M22)</f>
        <v/>
      </c>
      <c r="I22" s="827">
        <f>IFERROR(F22*H22,"")</f>
        <v/>
      </c>
      <c r="J22" s="203" t="n"/>
      <c r="K22" s="209">
        <f t="array" ref="K22">IFERROR(INDEX(物件概要!$L$3:$L$50,MATCH(1,(物件概要!$K$3:$K$50&lt;&gt;"")*ISNUMBER(SEARCH(物件概要!$K$3:$K$50,B22)),0)),IFERROR(INDEX('物件概要(2)'!$L$3:$L$49,MATCH(1,('物件概要(2)'!$K$3:$K$49&lt;&gt;"")*ISNUMBER(SEARCH('物件概要(2)'!$K$3:$K$49,B22)),0)),""))</f>
        <v/>
      </c>
      <c r="L22" s="206" t="n"/>
      <c r="M22" s="211">
        <f t="array" ref="M22">IFERROR(INDEX('物件概要(2)'!$N$3:$N$49,MATCH(1,('物件概要(2)'!$M$3:$M$49&lt;&gt;"")*ISNUMBER(SEARCH('物件概要(2)'!$M$3:$M$49,B22)),0)),"")</f>
        <v/>
      </c>
      <c r="N22" s="206" t="n"/>
      <c r="P22" s="201" t="inlineStr">
        <is>
          <t>ｼｰﾙ増し打ち</t>
        </is>
      </c>
    </row>
    <row r="23" ht="25.95" customHeight="1" s="7">
      <c r="A23" s="256" t="inlineStr"/>
      <c r="B23" s="564" t="n"/>
      <c r="C23" s="651" t="n"/>
      <c r="D23" s="258" t="n"/>
      <c r="E23" s="651" t="n"/>
      <c r="F23" s="260">
        <f>IF(L23&lt;&gt;"",L23,K23)</f>
        <v/>
      </c>
      <c r="G23" s="258" t="n"/>
      <c r="H23" s="828">
        <f>IF(N23&lt;&gt;"",N23,M23)</f>
        <v/>
      </c>
      <c r="I23" s="827">
        <f>IFERROR(F23*H23,"")</f>
        <v/>
      </c>
      <c r="J23" s="203" t="n"/>
      <c r="K23" s="209">
        <f t="array" ref="K23">IFERROR(INDEX(物件概要!$L$3:$L$50,MATCH(1,(物件概要!$K$3:$K$50&lt;&gt;"")*ISNUMBER(SEARCH(物件概要!$K$3:$K$50,B23)),0)),IFERROR(INDEX('物件概要(2)'!$L$3:$L$49,MATCH(1,('物件概要(2)'!$K$3:$K$49&lt;&gt;"")*ISNUMBER(SEARCH('物件概要(2)'!$K$3:$K$49,B23)),0)),""))</f>
        <v/>
      </c>
      <c r="L23" s="206" t="n"/>
      <c r="M23" s="211">
        <f t="array" ref="M23">IFERROR(INDEX('物件概要(2)'!$N$3:$N$49,MATCH(1,('物件概要(2)'!$M$3:$M$49&lt;&gt;"")*ISNUMBER(SEARCH('物件概要(2)'!$M$3:$M$49,B23)),0)),"")</f>
        <v/>
      </c>
      <c r="N23" s="206" t="n"/>
      <c r="P23" s="201" t="inlineStr">
        <is>
          <t>平場長尺シート貼込</t>
        </is>
      </c>
    </row>
    <row r="24" ht="25.95" customHeight="1" s="7">
      <c r="A24" s="256" t="inlineStr"/>
      <c r="B24" s="564" t="n"/>
      <c r="C24" s="651" t="n"/>
      <c r="D24" s="258" t="n"/>
      <c r="E24" s="651" t="n"/>
      <c r="F24" s="260">
        <f>IF(L24&lt;&gt;"",L24,K24)</f>
        <v/>
      </c>
      <c r="G24" s="258" t="n"/>
      <c r="H24" s="828">
        <f>IF(N24&lt;&gt;"",N24,M24)</f>
        <v/>
      </c>
      <c r="I24" s="827">
        <f>IFERROR(F24*H24,"")</f>
        <v/>
      </c>
      <c r="J24" s="203" t="n"/>
      <c r="K24" s="209">
        <f t="array" ref="K24">IFERROR(INDEX(物件概要!$L$3:$L$50,MATCH(1,(物件概要!$K$3:$K$50&lt;&gt;"")*ISNUMBER(SEARCH(物件概要!$K$3:$K$50,B24)),0)),IFERROR(INDEX('物件概要(2)'!$L$3:$L$49,MATCH(1,('物件概要(2)'!$K$3:$K$49&lt;&gt;"")*ISNUMBER(SEARCH('物件概要(2)'!$K$3:$K$49,B24)),0)),""))</f>
        <v/>
      </c>
      <c r="L24" s="206" t="n"/>
      <c r="M24" s="211">
        <f t="array" ref="M24">IFERROR(INDEX('物件概要(2)'!$N$3:$N$49,MATCH(1,('物件概要(2)'!$M$3:$M$49&lt;&gt;"")*ISNUMBER(SEARCH('物件概要(2)'!$M$3:$M$49,B24)),0)),"")</f>
        <v/>
      </c>
      <c r="N24" s="206" t="n"/>
      <c r="P24" s="201" t="inlineStr">
        <is>
          <t>階段ステップ貼込</t>
        </is>
      </c>
    </row>
    <row r="25" ht="25.95" customHeight="1" s="7">
      <c r="A25" s="256" t="inlineStr"/>
      <c r="B25" s="564" t="n"/>
      <c r="C25" s="651" t="n"/>
      <c r="D25" s="258" t="n"/>
      <c r="E25" s="651" t="n"/>
      <c r="F25" s="260">
        <f>IF(L25&lt;&gt;"",L25,K25)</f>
        <v/>
      </c>
      <c r="G25" s="258" t="n"/>
      <c r="H25" s="828">
        <f>IF(N25&lt;&gt;"",N25,M25)</f>
        <v/>
      </c>
      <c r="I25" s="827">
        <f>IFERROR(F25*H25,"")</f>
        <v/>
      </c>
      <c r="J25" s="203" t="n"/>
      <c r="K25" s="209">
        <f t="array" ref="K25">IFERROR(INDEX(物件概要!$L$3:$L$50,MATCH(1,(物件概要!$K$3:$K$50&lt;&gt;"")*ISNUMBER(SEARCH(物件概要!$K$3:$K$50,B25)),0)),IFERROR(INDEX('物件概要(2)'!$L$3:$L$49,MATCH(1,('物件概要(2)'!$K$3:$K$49&lt;&gt;"")*ISNUMBER(SEARCH('物件概要(2)'!$K$3:$K$49,B25)),0)),""))</f>
        <v/>
      </c>
      <c r="L25" s="206" t="n"/>
      <c r="M25" s="211">
        <f t="array" ref="M25">IFERROR(INDEX('物件概要(2)'!$N$3:$N$49,MATCH(1,('物件概要(2)'!$M$3:$M$49&lt;&gt;"")*ISNUMBER(SEARCH('物件概要(2)'!$M$3:$M$49,B25)),0)),"")</f>
        <v/>
      </c>
      <c r="N25" s="206" t="n"/>
      <c r="P25" s="201" t="inlineStr">
        <is>
          <t>ｼｰﾙ打ち込み</t>
        </is>
      </c>
    </row>
    <row r="26" ht="25.95" customHeight="1" s="7">
      <c r="A26" s="256" t="inlineStr"/>
      <c r="B26" s="564" t="n"/>
      <c r="C26" s="651" t="n"/>
      <c r="D26" s="258" t="n"/>
      <c r="E26" s="651" t="n"/>
      <c r="F26" s="260">
        <f>IF(L26&lt;&gt;"",L26,K26)</f>
        <v/>
      </c>
      <c r="G26" s="258" t="n"/>
      <c r="H26" s="828">
        <f>IF(N26&lt;&gt;"",N26,M26)</f>
        <v/>
      </c>
      <c r="I26" s="827">
        <f>IFERROR(F26*H26,"")</f>
        <v/>
      </c>
      <c r="J26" s="203" t="n"/>
      <c r="K26" s="209">
        <f t="array" ref="K26">IFERROR(INDEX(物件概要!$L$3:$L$50,MATCH(1,(物件概要!$K$3:$K$50&lt;&gt;"")*ISNUMBER(SEARCH(物件概要!$K$3:$K$50,B26)),0)),IFERROR(INDEX('物件概要(2)'!$L$3:$L$49,MATCH(1,('物件概要(2)'!$K$3:$K$49&lt;&gt;"")*ISNUMBER(SEARCH('物件概要(2)'!$K$3:$K$49,B26)),0)),""))</f>
        <v/>
      </c>
      <c r="L26" s="206" t="n"/>
      <c r="M26" s="211">
        <f t="array" ref="M26">IFERROR(INDEX('物件概要(2)'!$N$3:$N$49,MATCH(1,('物件概要(2)'!$M$3:$M$49&lt;&gt;"")*ISNUMBER(SEARCH('物件概要(2)'!$M$3:$M$49,B26)),0)),"")</f>
        <v/>
      </c>
      <c r="N26" s="206" t="n"/>
      <c r="P26" s="201" t="inlineStr">
        <is>
          <t>平場長尺シート撤去</t>
        </is>
      </c>
    </row>
    <row r="27" ht="25.95" customHeight="1" s="7">
      <c r="A27" s="256" t="inlineStr"/>
      <c r="B27" s="564" t="n"/>
      <c r="C27" s="651" t="n"/>
      <c r="D27" s="258" t="n"/>
      <c r="E27" s="651" t="n"/>
      <c r="F27" s="260">
        <f>IF(L27&lt;&gt;"",L27,K27)</f>
        <v/>
      </c>
      <c r="G27" s="258" t="n"/>
      <c r="H27" s="828">
        <f>IF(N27&lt;&gt;"",N27,M27)</f>
        <v/>
      </c>
      <c r="I27" s="827">
        <f>IFERROR(F27*H27,"")</f>
        <v/>
      </c>
      <c r="J27" s="203" t="n"/>
      <c r="K27" s="209">
        <f t="array" ref="K27">IFERROR(INDEX(物件概要!$L$3:$L$50,MATCH(1,(物件概要!$K$3:$K$50&lt;&gt;"")*ISNUMBER(SEARCH(物件概要!$K$3:$K$50,B27)),0)),IFERROR(INDEX('物件概要(2)'!$L$3:$L$49,MATCH(1,('物件概要(2)'!$K$3:$K$49&lt;&gt;"")*ISNUMBER(SEARCH('物件概要(2)'!$K$3:$K$49,B27)),0)),""))</f>
        <v/>
      </c>
      <c r="L27" s="206" t="n"/>
      <c r="M27" s="211">
        <f t="array" ref="M27">IFERROR(INDEX('物件概要(2)'!$N$3:$N$49,MATCH(1,('物件概要(2)'!$M$3:$M$49&lt;&gt;"")*ISNUMBER(SEARCH('物件概要(2)'!$M$3:$M$49,B27)),0)),"")</f>
        <v/>
      </c>
      <c r="N27" s="206" t="n"/>
      <c r="P27" s="201" t="inlineStr">
        <is>
          <t>階段ステップ撤去</t>
        </is>
      </c>
    </row>
    <row r="28" ht="25.95" customHeight="1" s="7">
      <c r="A28" s="262" t="inlineStr"/>
      <c r="B28" s="566" t="n"/>
      <c r="C28" s="808" t="n"/>
      <c r="D28" s="829" t="n"/>
      <c r="E28" s="808" t="n"/>
      <c r="F28" s="263">
        <f>IF(L28&lt;&gt;"",L28,K28)</f>
        <v/>
      </c>
      <c r="G28" s="264" t="n"/>
      <c r="H28" s="830">
        <f>IF(N28&lt;&gt;"",N28,M28)</f>
        <v/>
      </c>
      <c r="I28" s="831">
        <f>IFERROR(F28*H28,"")</f>
        <v/>
      </c>
      <c r="J28" s="203" t="n"/>
      <c r="K28" s="209">
        <f t="array" ref="K28">IFERROR(INDEX(物件概要!$L$3:$L$50,MATCH(1,(物件概要!$K$3:$K$50&lt;&gt;"")*ISNUMBER(SEARCH(物件概要!$K$3:$K$50,B28)),0)),IFERROR(INDEX('物件概要(2)'!$L$3:$L$49,MATCH(1,('物件概要(2)'!$K$3:$K$49&lt;&gt;"")*ISNUMBER(SEARCH('物件概要(2)'!$K$3:$K$49,B28)),0)),""))</f>
        <v/>
      </c>
      <c r="L28" s="206" t="n"/>
      <c r="M28" s="211">
        <f t="array" ref="M28">IFERROR(INDEX('物件概要(2)'!$N$3:$N$49,MATCH(1,('物件概要(2)'!$M$3:$M$49&lt;&gt;"")*ISNUMBER(SEARCH('物件概要(2)'!$M$3:$M$49,B28)),0)),"")</f>
        <v/>
      </c>
      <c r="N28" s="206" t="n"/>
    </row>
    <row r="29" ht="20.1" customHeight="1" s="7">
      <c r="A29" s="231" t="n"/>
      <c r="B29" s="555" t="n"/>
      <c r="C29" s="556" t="n"/>
      <c r="D29" s="556" t="n"/>
      <c r="E29" s="179" t="n"/>
      <c r="F29" s="4" t="n"/>
      <c r="G29" s="4" t="n"/>
      <c r="H29" s="4" t="n"/>
      <c r="I29" s="832">
        <f>SUM(I5:I28)</f>
        <v/>
      </c>
      <c r="J29" s="203" t="n"/>
    </row>
    <row r="30" ht="20.1" customHeight="1" s="7">
      <c r="A30" s="549" t="n"/>
      <c r="B30" s="833" t="n"/>
      <c r="C30" s="835" t="n"/>
      <c r="D30" s="820" t="n"/>
      <c r="E30" s="820" t="n"/>
      <c r="F30" s="820" t="n"/>
      <c r="G30" s="820" t="n"/>
      <c r="H30" s="820" t="n"/>
      <c r="I30" s="836" t="n"/>
      <c r="J30" s="203" t="n"/>
    </row>
    <row r="31" ht="20.1" customHeight="1" s="7">
      <c r="A31" s="822" t="n"/>
      <c r="B31" s="834" t="n"/>
      <c r="C31" s="841" t="n"/>
      <c r="D31" s="802" t="n"/>
      <c r="E31" s="802" t="n"/>
      <c r="F31" s="802" t="n"/>
      <c r="G31" s="802" t="n"/>
      <c r="H31" s="802" t="n"/>
      <c r="I31" s="842" t="n"/>
      <c r="J31" s="203" t="n"/>
    </row>
    <row r="32" ht="19.95" customHeight="1" s="7">
      <c r="A32" s="837" t="n"/>
      <c r="B32" s="838" t="n"/>
      <c r="C32" s="839" t="n"/>
      <c r="D32" s="807" t="n"/>
      <c r="E32" s="807" t="n"/>
      <c r="F32" s="807" t="n"/>
      <c r="G32" s="807" t="n"/>
      <c r="H32" s="807" t="n"/>
      <c r="I32" s="840" t="n"/>
      <c r="J32" s="203" t="n"/>
    </row>
    <row r="33" ht="20.1" customHeight="1" s="7">
      <c r="A33" s="232" t="n"/>
      <c r="B33" s="181" t="n"/>
      <c r="C33" s="181" t="n"/>
      <c r="D33" s="5" t="n"/>
      <c r="E33" s="5" t="n"/>
      <c r="F33" s="5" t="n"/>
      <c r="G33" s="5" t="n"/>
      <c r="H33" s="5" t="n"/>
      <c r="I33" s="5" t="n"/>
      <c r="J33" s="203" t="n"/>
    </row>
    <row r="34" ht="20.1" customHeight="1" s="7">
      <c r="A34" s="233" t="n"/>
      <c r="B34" s="182" t="n"/>
      <c r="C34" s="182" t="n"/>
      <c r="D34" s="6" t="n"/>
      <c r="E34" s="6" t="n"/>
      <c r="F34" s="6" t="n"/>
      <c r="G34" s="6" t="n"/>
      <c r="H34" s="6" t="n"/>
      <c r="I34" s="6" t="n"/>
    </row>
    <row r="35" ht="20.1" customHeight="1" s="7">
      <c r="A35" s="201" t="n"/>
      <c r="B35" s="183" t="n"/>
      <c r="C35" s="183" t="n"/>
      <c r="D35" s="1" t="n"/>
      <c r="E35" s="1" t="n"/>
      <c r="F35" s="1" t="n"/>
      <c r="G35" s="1" t="n"/>
      <c r="H35" s="1" t="n"/>
      <c r="I35" s="1" t="n"/>
    </row>
    <row r="36" ht="20.1" customHeight="1" s="7"/>
    <row r="37" ht="20.1" customHeight="1" s="7"/>
    <row r="38" ht="20.1" customHeight="1" s="7"/>
    <row r="39" ht="20.1" customHeight="1" s="7"/>
    <row r="40" ht="20.1" customFormat="1" customHeight="1" s="1">
      <c r="A40" s="201" t="n"/>
      <c r="B40" s="183" t="n"/>
      <c r="C40" s="183" t="n"/>
      <c r="K40" s="210" t="n"/>
      <c r="M40" s="210" t="n"/>
      <c r="P40" s="201" t="n"/>
    </row>
    <row r="41" ht="20.1" customFormat="1" customHeight="1" s="1">
      <c r="A41" s="201" t="n"/>
      <c r="B41" s="207" t="n"/>
      <c r="C41" s="207" t="n"/>
      <c r="D41" s="18" t="n"/>
      <c r="E41" s="18" t="n"/>
      <c r="F41" s="18" t="n"/>
      <c r="G41" s="18" t="n"/>
      <c r="H41" s="18" t="n"/>
      <c r="I41" s="18" t="n"/>
      <c r="K41" s="210" t="n"/>
      <c r="M41" s="210" t="n"/>
      <c r="P41" s="201" t="n"/>
    </row>
    <row r="42" ht="18" customHeight="1" s="7"/>
    <row r="43" ht="18" customHeight="1" s="7"/>
    <row r="44" ht="18" customHeight="1" s="7"/>
    <row r="45" ht="18" customHeight="1" s="7"/>
    <row r="46" ht="18" customHeight="1" s="7"/>
    <row r="47" ht="18" customHeight="1" s="7"/>
    <row r="48" ht="18" customHeight="1" s="7"/>
    <row r="49" ht="18" customHeight="1" s="7"/>
    <row r="50" ht="18" customHeight="1" s="7"/>
    <row r="51" ht="18" customHeight="1" s="7"/>
    <row r="63" ht="19.8" customHeight="1" s="7">
      <c r="K63" s="210" t="n"/>
    </row>
    <row r="64" ht="19.8" customHeight="1" s="7">
      <c r="K64" s="210" t="n"/>
    </row>
    <row r="65" ht="19.8" customHeight="1" s="7">
      <c r="K65" s="210" t="n"/>
    </row>
  </sheetData>
  <sheetProtection selectLockedCells="0" selectUnlockedCells="0" sheet="1" objects="1" insertRows="1" insertHyperlinks="1" autoFilter="1" scenarios="1" formatColumns="1" deleteColumns="1" insertColumns="1" pivotTables="1" deleteRows="1" formatCells="1" formatRows="1" sort="1"/>
  <mergeCells count="56">
    <mergeCell ref="D20:E20"/>
    <mergeCell ref="B16:C16"/>
    <mergeCell ref="D10:E10"/>
    <mergeCell ref="B7:C7"/>
    <mergeCell ref="B25:C25"/>
    <mergeCell ref="D19:E19"/>
    <mergeCell ref="B22:C22"/>
    <mergeCell ref="C32:I32"/>
    <mergeCell ref="D22:E22"/>
    <mergeCell ref="B29:D29"/>
    <mergeCell ref="B27:C27"/>
    <mergeCell ref="B18:C18"/>
    <mergeCell ref="A30:B32"/>
    <mergeCell ref="D21:E21"/>
    <mergeCell ref="B12:C12"/>
    <mergeCell ref="D6:E6"/>
    <mergeCell ref="B21:C21"/>
    <mergeCell ref="B11:C11"/>
    <mergeCell ref="D11:E11"/>
    <mergeCell ref="D13:E13"/>
    <mergeCell ref="D27:E27"/>
    <mergeCell ref="B23:C23"/>
    <mergeCell ref="B14:C14"/>
    <mergeCell ref="C30:I30"/>
    <mergeCell ref="B17:C17"/>
    <mergeCell ref="A4:C4"/>
    <mergeCell ref="B8:C8"/>
    <mergeCell ref="D17:E17"/>
    <mergeCell ref="B13:C13"/>
    <mergeCell ref="D16:E16"/>
    <mergeCell ref="D7:E7"/>
    <mergeCell ref="B19:C19"/>
    <mergeCell ref="B28:C28"/>
    <mergeCell ref="D28:E28"/>
    <mergeCell ref="D4:E4"/>
    <mergeCell ref="D18:E18"/>
    <mergeCell ref="B9:C9"/>
    <mergeCell ref="D9:E9"/>
    <mergeCell ref="D12:E12"/>
    <mergeCell ref="D8:E8"/>
    <mergeCell ref="D25:E25"/>
    <mergeCell ref="B6:C6"/>
    <mergeCell ref="B24:C24"/>
    <mergeCell ref="C31:I31"/>
    <mergeCell ref="B15:C15"/>
    <mergeCell ref="D24:E24"/>
    <mergeCell ref="D15:E15"/>
    <mergeCell ref="B5:C5"/>
    <mergeCell ref="B20:C20"/>
    <mergeCell ref="D5:E5"/>
    <mergeCell ref="D23:E23"/>
    <mergeCell ref="A1:I1"/>
    <mergeCell ref="D14:E14"/>
    <mergeCell ref="B26:C26"/>
    <mergeCell ref="D26:E26"/>
    <mergeCell ref="B2:D2"/>
  </mergeCells>
  <dataValidations count="3">
    <dataValidation sqref="B5:B9 B11:B28" showDropDown="0" showInputMessage="0" showErrorMessage="0" allowBlank="1" type="list">
      <formula1>"）仮設工事関係,）災害防止関係,）養生工事関係,）素地調整関係,）補修工事関係,）シーリング工事関係,）塗装工事関係,）防水工事関係,）タイル工事関係,）左官工事関係,）内装工事関係,）建具工事関係,）設備工事関係,）電気工事関係,）外構工事関係,）解体工事関係,）美装工事関係,）雑工事関係"</formula1>
    </dataValidation>
    <dataValidation sqref="G5:G28" showDropDown="0" showInputMessage="0" showErrorMessage="0" allowBlank="1" type="list">
      <formula1>"㎡,m,式,箇所,基,台,個,段"</formula1>
    </dataValidation>
    <dataValidation sqref="B2" showDropDown="0" showInputMessage="1" showErrorMessage="1" allowBlank="1" type="list">
      <formula1>項目</formula1>
    </dataValidation>
  </dataValidations>
  <printOptions horizontalCentered="1" verticalCentered="1"/>
  <pageMargins left="0.07874015748031496" right="0.07874015748031496" top="0" bottom="0" header="0" footer="0"/>
  <pageSetup orientation="portrait" paperSize="9" scale="98"/>
</worksheet>
</file>

<file path=xl/worksheets/sheet6.xml><?xml version="1.0" encoding="utf-8"?>
<worksheet xmlns="http://schemas.openxmlformats.org/spreadsheetml/2006/main">
  <sheetPr codeName="Sheet6">
    <outlinePr summaryBelow="1" summaryRight="1"/>
    <pageSetUpPr fitToPage="1"/>
  </sheetPr>
  <dimension ref="A1:E57"/>
  <sheetViews>
    <sheetView showGridLines="0" view="pageBreakPreview" topLeftCell="A20" zoomScale="80" zoomScaleNormal="100" workbookViewId="0">
      <selection activeCell="A1" sqref="A1:D49"/>
    </sheetView>
  </sheetViews>
  <sheetFormatPr baseColWidth="8" defaultColWidth="5.59765625" defaultRowHeight="30" customHeight="1"/>
  <cols>
    <col width="150.69921875" customWidth="1" style="7" min="1" max="1"/>
    <col hidden="1" width="8.59765625" customWidth="1" style="7" min="2" max="3"/>
    <col hidden="1" width="17.69921875" customWidth="1" style="7" min="4" max="4"/>
  </cols>
  <sheetData>
    <row r="1" ht="279" customHeight="1" s="7">
      <c r="A1" s="574" t="inlineStr">
        <is>
          <t xml:space="preserve">住宅・店舗改装工事請負契約約款
（総則）
第１条 
注文者と請負者は、日本国の法を遵守し、互いに協力し、信義を守り、この約款に基づき、各々誠実にこの契約を履行する。
（一括下請負・一括委任の禁止）
第２条
 あらかじめ注文者の書面（電子メール等含む）による承諾を得た場合を除き、請負者は請負者の責任において、工事の全部または大部分を、一括して請負者の指定する者に委任または請負わせることができない。
（権利・義務などの譲渡の禁止）
第３条
 注文者及び請負者は、相手方からの書面（電子メール等含む）による承諾を得なければ、この契約から生ずる権利または義務を、第三者に譲渡することまたは継承させることはできない。
２ 注文者および請負者は、相手方からの書面（電子メール等含む）による承諾を得なければ、契約の目的物、検査済の工事材料（製造工場などにある製品を含む）・建築設備の機器を第三者に譲渡すること、もしくは貸与すること、または抵当権その他の担保の目的に供することはできない。
（完了確認・代金支払い）
第４条
工事を終了したときは、注文者と請負者は両者立会いのもと契約の目的物を確認し、注文者は請負契約書記載の期日までに請負代金の支払いを完了する。
（支給材料、貸与品）
第５条 
注文者からの支給材料または貸与品がある場合には、その受渡期日および受渡場所は注文者と請負者の協議の上決める。
２ 請負者は、支給材料または貸与品の受領後すみやかに検収するものとし、不良品については注文者に対し交換を求めることができる。
３ 請負者は支給材料または貸与品を善良な管理者として使用または保管する。
（第三者への損害および第三者との紛議）
第６条 
施工により、第三者に損害を及ぼしたとき、または紛議を生じたときは、注文者と請負者が協力して処理解決にあたる。
２ 前項に要した費用は、請負者の責に帰すべき事由によって生じたものについては、請負者の負担とし、注文者の責に帰すべき事由によって生じたものについては、注文者の負担とする。なお、双方の責に帰すべき事由による場合は協議により負担を定めるものとする。
（不可抗力による損害）
第７条 
天災その他自然的または人為的な事象であって、注文者・請負者いずれにもその責を帰することのできない事由（以下「不可抗力」という）によって、工事済部分、工事仮設物、工事現場に搬入した工事材料・建築設備の機器（有償支給材料を含む）または工事用機器について損害が生じたときは、請負者は、事実発生後速やかにその状況を注文者に通知する。
２ 前項の損害について、注文者・請負者が協議して重大なもの、かつ、請負者が善良な管理者としての注意をしたと認められるものは、注文者がこれを負担する。
３ 火災保険・建設工事保険その他損害をてん補するものがあるときは、それらの額を前項の注文者の負担額から控除する。
（契約に適合しない場合の担保責任）
第８条
 引き渡された目的物が契約の内容に適合しないものがある場合、請負者は引渡しから２年間民法の定める責任を負う。ただし、建築設備の機器本体、室内仕上げ・装飾、家具、植栽等において契約の内容に適合しない場合は、引渡しから１年とする。
２ 前項の規定にかかわらず、請負者が別段の保証書等を発行している場合には、当該保証書等の定めによるものとする。
３ 前２項の規定にかかわらず、第５条に基づく注文者からの支給材料または貸与品ならびに注文者の指図が原因で目的物の不適合が発生した場合には請負者は責任を負わないものとする。
（打ち合わせに基づく施工が不可能もしくは不適切な場合）
第９条 
施工にあたり、通常の事前調査では予測不可能な状況により、打ち合わせに基づく施工が不可能、もしくは不適切な場合は、注文者と請負者が協議して、実情に適するように内容を変更する。
２ 前項において、工期、請負代金を変更する必要がある場合は、注文者と請負者が第１０条に基づいて協議してこれを決める。
</t>
        </is>
      </c>
      <c r="B1" s="179" t="n"/>
      <c r="C1" s="179" t="n"/>
      <c r="D1" s="179" t="n"/>
      <c r="E1" s="267" t="inlineStr">
        <is>
          <t xml:space="preserve">住宅・店舗改装工事請負契約約款
（総則）
第１条 
注文者と請負者は、日本国の法を遵守し、互いに協力し、信義を守り、この約款に基づき、各々誠実にこの契約を履行する。
（一括下請負・一括委任の禁止）
第２条
 あらかじめ注文者の書面（電子メール等含む）による承諾を得た場合を除き、請負者は請負者の責任において、工事の全部または大部分を、一括して請負者の指定する者に委任または請負わせることができない。
（権利・義務などの譲渡の禁止）
第３条
 注文者及び請負者は、相手方からの書面（電子メール等含む）による承諾を得なければ、この契約から生ずる権利または義務を、第三者に譲渡することまたは継承させることはできない。
２ 注文者および請負者は、相手方からの書面（電子メール等含む）による承諾を得なければ、契約の目的物、検査済の工事材料（製造工場などにある製品を含む）・建築設備の機器を第三者に譲渡すること、もしくは貸与すること、または抵当権その他の担保の目的に供することはできない。
（完了確認・代金支払い）
第４条
工事を終了したときは、注文者と請負者は両者立会いのもと契約の目的物を確認し、注文者は請負契約書記載の期日までに請負代金の支払いを完了する。
（支給材料、貸与品）
第５条 
注文者からの支給材料または貸与品がある場合には、その受渡期日および受渡場所は注文者と請負者の協議の上決める。
２ 請負者は、支給材料または貸与品の受領後すみやかに検収するものとし、不良品については注文者に対し交換を求めることができる。
３ 請負者は支給材料または貸与品を善良な管理者として使用または保管する。
（第三者への損害および第三者との紛議）
第６条 
施工により、第三者に損害を及ぼしたとき、または紛議を生じたときは、注文者と請負者が協力して処理解決にあたる。
２ 前項に要した費用は、請負者の責に帰すべき事由によって生じたものについては、請負者の負担とし、注文者の責に帰すべき事由によって生じたものについては、注文者の負担とする。なお、双方の責に帰すべき事由による場合は協議により負担を定めるものとする。
（不可抗力による損害）
第７条 
天災その他自然的または人為的な事象であって、注文者・請負者いずれにもその責を帰することのできない事由（以下「不可抗力」という）によって、工事済部分、工事仮設物、工事現場に搬入した工事材料・建築設備の機器（有償支給材料を含む）または工事用機器について損害が生じたときは、請負者は、事実発生後速やかにその状況を注文者に通知する。
２ 前項の損害について、注文者・請負者が協議して重大なもの、かつ、請負者が善良な管理者としての注意をしたと認められるものは、注文者がこれを負担する。
３ 火災保険・建設工事保険その他損害をてん補するものがあるときは、それらの額を前項の注文者の負担額から控除する。
（契約に適合しない場合の担保責任）
第８条
 引き渡された目的物が契約の内容に適合しないものがある場合、請負者は引渡しから２年間民法の定める責任を負う。ただし、建築設備の機器本体、室内仕上げ・装飾、家具、植栽等において契約の内容に適合しない場合は、引渡しから１年とする。
２ 前項の規定にかかわらず、請負者が別段の保証書等を発行している場合には、当該保証書等の定めによるものとする。
３ 前２項の規定にかかわらず、第５条に基づく注文者からの支給材料または貸与品ならびに注文者の指図が原因で目的物の不適合が発生した場合には請負者は責任を負わないものとする。
（打ち合わせに基づく施工が不可能もしくは不適切な場合）
第９条 
施工にあたり、通常の事前調査では予測不可能な状況により、打ち合わせに基づく施工が不可能、もしくは不適切な場合は、注文者と請負者が協議して、実情に適するように内容を変更する。
２ 前項において、工期、請負代金を変更する必要がある場合は、注文者と請負者が第１０条に基づいて協議してこれを決める。
</t>
        </is>
      </c>
    </row>
    <row r="2" ht="20.1" customHeight="1" s="7">
      <c r="A2" s="179" t="n"/>
      <c r="B2" s="179" t="n"/>
      <c r="C2" s="179" t="n"/>
      <c r="D2" s="179" t="n"/>
    </row>
    <row r="3" ht="20.1" customHeight="1" s="7">
      <c r="A3" s="179" t="n"/>
      <c r="B3" s="179" t="n"/>
      <c r="C3" s="179" t="n"/>
      <c r="D3" s="179" t="n"/>
    </row>
    <row r="4" ht="20.1" customHeight="1" s="7">
      <c r="A4" s="179" t="n"/>
      <c r="B4" s="179" t="n"/>
      <c r="C4" s="179" t="n"/>
      <c r="D4" s="179" t="n"/>
    </row>
    <row r="5" ht="20.1" customHeight="1" s="7">
      <c r="A5" s="179" t="n"/>
      <c r="B5" s="179" t="n"/>
      <c r="C5" s="179" t="n"/>
      <c r="D5" s="179" t="n"/>
    </row>
    <row r="6" ht="20.1" customHeight="1" s="7">
      <c r="A6" s="179" t="n"/>
      <c r="B6" s="179" t="n"/>
      <c r="C6" s="179" t="n"/>
      <c r="D6" s="179" t="n"/>
    </row>
    <row r="7" ht="20.1" customHeight="1" s="7">
      <c r="A7" s="179" t="n"/>
      <c r="B7" s="179" t="n"/>
      <c r="C7" s="179" t="n"/>
      <c r="D7" s="179" t="n"/>
    </row>
    <row r="8" ht="20.1" customHeight="1" s="7">
      <c r="A8" s="179" t="n"/>
      <c r="B8" s="179" t="n"/>
      <c r="C8" s="179" t="n"/>
      <c r="D8" s="179" t="n"/>
    </row>
    <row r="9" ht="20.1" customHeight="1" s="7">
      <c r="A9" s="179" t="n"/>
      <c r="B9" s="179" t="n"/>
      <c r="C9" s="179" t="n"/>
      <c r="D9" s="179" t="n"/>
    </row>
    <row r="10" ht="20.1" customHeight="1" s="7">
      <c r="A10" s="179" t="n"/>
      <c r="B10" s="179" t="n"/>
      <c r="C10" s="179" t="n"/>
      <c r="D10" s="179" t="n"/>
    </row>
    <row r="11" ht="30" customHeight="1" s="7">
      <c r="A11" s="179" t="n"/>
      <c r="B11" s="179" t="n"/>
      <c r="C11" s="179" t="n"/>
      <c r="D11" s="179" t="n"/>
    </row>
    <row r="12" ht="30" customHeight="1" s="7">
      <c r="A12" s="179" t="n"/>
      <c r="B12" s="179" t="n"/>
      <c r="C12" s="179" t="n"/>
      <c r="D12" s="179" t="n"/>
    </row>
    <row r="13" ht="30" customHeight="1" s="7">
      <c r="A13" s="179" t="n"/>
      <c r="B13" s="179" t="n"/>
      <c r="C13" s="179" t="n"/>
      <c r="D13" s="179" t="n"/>
    </row>
    <row r="14" ht="30" customHeight="1" s="7">
      <c r="A14" s="179" t="n"/>
      <c r="B14" s="179" t="n"/>
      <c r="C14" s="179" t="n"/>
      <c r="D14" s="179" t="n"/>
    </row>
    <row r="15" ht="30" customHeight="1" s="7">
      <c r="A15" s="179" t="n"/>
      <c r="B15" s="179" t="n"/>
      <c r="C15" s="179" t="n"/>
      <c r="D15" s="179" t="n"/>
    </row>
    <row r="16" ht="49.05" customHeight="1" s="7">
      <c r="A16" s="179" t="n"/>
      <c r="B16" s="179" t="n"/>
      <c r="C16" s="179" t="n"/>
      <c r="D16" s="179" t="n"/>
    </row>
    <row r="17" ht="30" customHeight="1" s="7">
      <c r="A17" s="179" t="n"/>
      <c r="B17" s="179" t="n"/>
      <c r="C17" s="179" t="n"/>
      <c r="D17" s="179" t="n"/>
    </row>
    <row r="18" ht="30" customHeight="1" s="7">
      <c r="A18" s="179" t="n"/>
      <c r="B18" s="179" t="n"/>
      <c r="C18" s="179" t="n"/>
      <c r="D18" s="179" t="n"/>
    </row>
    <row r="19" ht="30" customHeight="1" s="7">
      <c r="A19" s="179" t="n"/>
      <c r="B19" s="179" t="n"/>
      <c r="C19" s="179" t="n"/>
      <c r="D19" s="179" t="n"/>
    </row>
    <row r="20" ht="30" customHeight="1" s="7">
      <c r="A20" s="179" t="n"/>
      <c r="B20" s="179" t="n"/>
      <c r="C20" s="179" t="n"/>
      <c r="D20" s="179" t="n"/>
    </row>
    <row r="21" ht="30" customHeight="1" s="7">
      <c r="A21" s="179" t="n"/>
      <c r="B21" s="179" t="n"/>
      <c r="C21" s="179" t="n"/>
      <c r="D21" s="179" t="n"/>
    </row>
    <row r="22" ht="30" customHeight="1" s="7">
      <c r="A22" s="179" t="n"/>
      <c r="B22" s="179" t="n"/>
      <c r="C22" s="179" t="n"/>
      <c r="D22" s="179" t="n"/>
    </row>
    <row r="23" ht="30" customHeight="1" s="7">
      <c r="A23" s="179" t="n"/>
      <c r="B23" s="179" t="n"/>
      <c r="C23" s="179" t="n"/>
      <c r="D23" s="179" t="n"/>
    </row>
    <row r="24" ht="30" customHeight="1" s="7">
      <c r="A24" s="179" t="n"/>
      <c r="B24" s="179" t="n"/>
      <c r="C24" s="179" t="n"/>
      <c r="D24" s="179" t="n"/>
    </row>
    <row r="25" ht="30" customHeight="1" s="7">
      <c r="A25" s="179" t="n"/>
      <c r="B25" s="179" t="n"/>
      <c r="C25" s="179" t="n"/>
      <c r="D25" s="179" t="n"/>
    </row>
    <row r="26" ht="30" customHeight="1" s="7">
      <c r="A26" s="179" t="n"/>
      <c r="B26" s="179" t="n"/>
      <c r="C26" s="179" t="n"/>
      <c r="D26" s="179" t="n"/>
    </row>
    <row r="27" ht="30" customHeight="1" s="7">
      <c r="A27" s="179" t="n"/>
      <c r="B27" s="179" t="n"/>
      <c r="C27" s="179" t="n"/>
      <c r="D27" s="179" t="n"/>
    </row>
    <row r="28" ht="30" customHeight="1" s="7">
      <c r="A28" s="179" t="n"/>
      <c r="B28" s="179" t="n"/>
      <c r="C28" s="179" t="n"/>
      <c r="D28" s="179" t="n"/>
    </row>
    <row r="29" ht="30" customHeight="1" s="7">
      <c r="A29" s="179" t="n"/>
      <c r="B29" s="179" t="n"/>
      <c r="C29" s="179" t="n"/>
      <c r="D29" s="179" t="n"/>
    </row>
    <row r="30" ht="30" customHeight="1" s="7">
      <c r="A30" s="179" t="n"/>
      <c r="B30" s="179" t="n"/>
      <c r="C30" s="179" t="n"/>
      <c r="D30" s="179" t="n"/>
    </row>
    <row r="31" ht="30" customHeight="1" s="7">
      <c r="A31" s="179" t="n"/>
      <c r="B31" s="179" t="n"/>
      <c r="C31" s="179" t="n"/>
      <c r="D31" s="179" t="n"/>
    </row>
    <row r="32" ht="30" customHeight="1" s="7">
      <c r="A32" s="179" t="n"/>
      <c r="B32" s="179" t="n"/>
      <c r="C32" s="179" t="n"/>
      <c r="D32" s="179" t="n"/>
    </row>
    <row r="33" ht="30" customHeight="1" s="7">
      <c r="A33" s="179" t="n"/>
      <c r="B33" s="179" t="n"/>
      <c r="C33" s="179" t="n"/>
      <c r="D33" s="179" t="n"/>
    </row>
    <row r="34" ht="30" customHeight="1" s="7">
      <c r="A34" s="179" t="n"/>
      <c r="B34" s="179" t="n"/>
      <c r="C34" s="179" t="n"/>
      <c r="D34" s="179" t="n"/>
    </row>
    <row r="35" ht="30" customHeight="1" s="7">
      <c r="A35" s="179" t="n"/>
      <c r="B35" s="179" t="n"/>
      <c r="C35" s="179" t="n"/>
      <c r="D35" s="179" t="n"/>
    </row>
    <row r="36" ht="30" customHeight="1" s="7">
      <c r="A36" s="179" t="n"/>
      <c r="B36" s="179" t="n"/>
      <c r="C36" s="179" t="n"/>
      <c r="D36" s="179" t="n"/>
    </row>
    <row r="37" ht="30" customHeight="1" s="7">
      <c r="A37" s="179" t="n"/>
      <c r="B37" s="179" t="n"/>
      <c r="C37" s="179" t="n"/>
      <c r="D37" s="179" t="n"/>
    </row>
    <row r="38" ht="20.1" customHeight="1" s="7">
      <c r="A38" s="179" t="n"/>
      <c r="B38" s="179" t="n"/>
      <c r="C38" s="179" t="n"/>
      <c r="D38" s="179" t="n"/>
    </row>
    <row r="39" ht="20.1" customHeight="1" s="7">
      <c r="A39" s="179" t="n"/>
      <c r="B39" s="179" t="n"/>
      <c r="C39" s="179" t="n"/>
      <c r="D39" s="179" t="n"/>
    </row>
    <row r="40" ht="20.1" customHeight="1" s="7">
      <c r="A40" s="179" t="n"/>
      <c r="B40" s="179" t="n"/>
      <c r="C40" s="179" t="n"/>
      <c r="D40" s="179" t="n"/>
    </row>
    <row r="41" ht="20.1" customHeight="1" s="7">
      <c r="A41" s="179" t="n"/>
      <c r="B41" s="179" t="n"/>
      <c r="C41" s="179" t="n"/>
      <c r="D41" s="179" t="n"/>
    </row>
    <row r="42" hidden="1" ht="20.1" customHeight="1" s="7">
      <c r="A42" s="179" t="n"/>
      <c r="B42" s="179" t="n"/>
      <c r="C42" s="179" t="n"/>
      <c r="D42" s="179" t="n"/>
    </row>
    <row r="43" hidden="1" ht="15" customHeight="1" s="7">
      <c r="A43" s="179" t="n"/>
      <c r="B43" s="179" t="n"/>
      <c r="C43" s="179" t="n"/>
      <c r="D43" s="179" t="n"/>
    </row>
    <row r="44" hidden="1" ht="7.05" customHeight="1" s="7">
      <c r="A44" s="179" t="n"/>
      <c r="B44" s="179" t="n"/>
      <c r="C44" s="179" t="n"/>
      <c r="D44" s="179" t="n"/>
    </row>
    <row r="45" hidden="1" ht="20.1" customHeight="1" s="7">
      <c r="A45" s="179" t="n"/>
      <c r="B45" s="179" t="n"/>
      <c r="C45" s="179" t="n"/>
      <c r="D45" s="179" t="n"/>
    </row>
    <row r="46" hidden="1" ht="20.1" customHeight="1" s="7">
      <c r="A46" s="179" t="n"/>
      <c r="B46" s="179" t="n"/>
      <c r="C46" s="179" t="n"/>
      <c r="D46" s="179" t="n"/>
    </row>
    <row r="47" hidden="1" ht="15" customHeight="1" s="7">
      <c r="A47" s="179" t="n"/>
      <c r="B47" s="179" t="n"/>
      <c r="C47" s="179" t="n"/>
      <c r="D47" s="179" t="n"/>
    </row>
    <row r="48" hidden="1" ht="20.1" customHeight="1" s="7">
      <c r="A48" s="179" t="n"/>
      <c r="B48" s="179" t="n"/>
      <c r="C48" s="179" t="n"/>
      <c r="D48" s="179" t="n"/>
    </row>
    <row r="49" ht="269.1" customHeight="1" s="7">
      <c r="A49" s="179" t="n"/>
      <c r="B49" s="179" t="n"/>
      <c r="C49" s="179" t="n"/>
      <c r="D49" s="179" t="n"/>
    </row>
    <row r="50" ht="20.1" customHeight="1" s="7">
      <c r="A50" s="268" t="n"/>
      <c r="B50" s="268" t="n"/>
      <c r="C50" s="268" t="n"/>
      <c r="D50" s="268" t="n"/>
    </row>
    <row r="51" ht="20.1" customHeight="1" s="7">
      <c r="A51" s="268" t="n"/>
      <c r="B51" s="268" t="n"/>
      <c r="C51" s="268" t="n"/>
      <c r="D51" s="268" t="n"/>
    </row>
    <row r="52" ht="20.1" customHeight="1" s="7">
      <c r="A52" s="268" t="n"/>
      <c r="B52" s="268" t="n"/>
      <c r="C52" s="268" t="n"/>
      <c r="D52" s="268" t="n"/>
    </row>
    <row r="53" ht="20.1" customHeight="1" s="7">
      <c r="A53" s="268" t="n"/>
      <c r="B53" s="268" t="n"/>
      <c r="C53" s="268" t="n"/>
      <c r="D53" s="268" t="n"/>
    </row>
    <row r="54" ht="20.1" customHeight="1" s="7">
      <c r="A54" s="268" t="n"/>
      <c r="B54" s="268" t="n"/>
      <c r="C54" s="268" t="n"/>
      <c r="D54" s="268" t="n"/>
    </row>
    <row r="55" ht="20.1" customHeight="1" s="7">
      <c r="A55" s="268" t="n"/>
      <c r="B55" s="268" t="n"/>
      <c r="C55" s="268" t="n"/>
      <c r="D55" s="268" t="n"/>
    </row>
    <row r="56" ht="20.1" customHeight="1" s="7">
      <c r="A56" s="268" t="n"/>
      <c r="B56" s="268" t="n"/>
      <c r="C56" s="268" t="n"/>
      <c r="D56" s="268" t="n"/>
    </row>
    <row r="57" ht="20.1" customHeight="1" s="7">
      <c r="A57" s="268" t="n"/>
      <c r="B57" s="268" t="n"/>
      <c r="C57" s="268" t="n"/>
      <c r="D57" s="268" t="n"/>
    </row>
  </sheetData>
  <sheetProtection selectLockedCells="0" selectUnlockedCells="0" sheet="1" objects="1" insertRows="1" insertHyperlinks="1" autoFilter="1" scenarios="1" formatColumns="1" deleteColumns="1" insertColumns="1" pivotTables="1" deleteRows="1" formatCells="1" formatRows="1" sort="1"/>
  <mergeCells count="1">
    <mergeCell ref="A1:D49"/>
  </mergeCells>
  <printOptions horizontalCentered="1" verticalCentered="1"/>
  <pageMargins left="0" right="0" top="0" bottom="0" header="0" footer="0"/>
  <pageSetup orientation="portrait" paperSize="9" scale="50"/>
</worksheet>
</file>

<file path=xl/worksheets/sheet7.xml><?xml version="1.0" encoding="utf-8"?>
<worksheet xmlns="http://schemas.openxmlformats.org/spreadsheetml/2006/main">
  <sheetPr codeName="Sheet7">
    <outlinePr summaryBelow="1" summaryRight="1"/>
    <pageSetUpPr fitToPage="1"/>
  </sheetPr>
  <dimension ref="A1:D57"/>
  <sheetViews>
    <sheetView showGridLines="0" view="pageBreakPreview" zoomScale="80" zoomScaleNormal="100" workbookViewId="0">
      <selection activeCell="A1" sqref="A1:D49"/>
    </sheetView>
  </sheetViews>
  <sheetFormatPr baseColWidth="8" defaultColWidth="5.59765625" defaultRowHeight="30" customHeight="1"/>
  <cols>
    <col width="150.69921875" customWidth="1" style="7" min="1" max="1"/>
    <col hidden="1" width="8.59765625" customWidth="1" style="7" min="2" max="3"/>
    <col hidden="1" width="17.69921875" customWidth="1" style="7" min="4" max="4"/>
  </cols>
  <sheetData>
    <row r="1" ht="20.1" customHeight="1" s="7">
      <c r="A1" s="576" t="inlineStr">
        <is>
          <t xml:space="preserve">
（工事および工期の変更）
第１０条 
注文者は、必要がある場合には工事の追加、変更を申し入れすることができる。
２ 前項の追加・変更工事の内容は、注文者と請負者の合意により決める。
３ 前項の合意により定められた追加・変更工事により、追加工事代金が発生した場合や請負者に損害を及ぼした場合は、請負者は注文者に対してその支払いまたは賠償を求めることができる。
４ 請負者は、不可抗力その他正当な理由があるときは、注文者に対してその理由を明示して、追加工事代金および工期の延長を求めることができる。追加工事代金および延長日数は、追加工事代金および工期の延長を求める理由に応じて、注文者と請負者が協議して決める。
（注文者の中止権・解除権）
第１１条 
注文者は、必要がある場合には、書面（電子メール等含む）をもって工事を中止しまたはこの契約を解除することができる。これにより請負者に発生した損害を注文者が賠償する義務を負う。
２ 注文者は請負者が正当な理由なく工事をしない場合、相当期間を定めて書面（電子メール等含む）をもって催告し、その期間内に履行がない場合はこの契約を解除することができる。ただし、期間を経過したときにおける債務の不履行がその契約および取引上の社会通念に照らして軽微であるときはこの限りではない。
３ 次の各号の一にあたるときは、注文者は、書面（電子メール等含む）をもって工事を将来に向かって中止し、またはこの契約を解除することができる。この場合、注文者は、発生した損害を請負者に請求することができる。ただし、その原因が注文者にある場合にはこの限りではない。
一 請負者が正当な理由なく、着手期日を過ぎても工事に着工しないとき。
二 正当な理由なく工事が工程表より著しく遅れ、工期内または期限後相当期間内に、請負者が工事を完成する見込がないと認められるとき。
三 請負者が強制執行を受け、資金不足による手形・小切手の不渡りを出し、破産・会社更生・会社整理・特別清算の申し立てをし、もしくは受け、または民事再生の申し立てをするなど、請負者が工事を続行できないおそれがあると認められるとき。
四 請負者が第１２条第１項（注文者の責による工事の中止権）の各号の一に規定する理由がないのに、この契約の解除を申し出たとき。
五 その他、請負者がこの契約に違反し、そのため契約の目的が達成できなくなったと認められるとき。
（請負者の中止権・解除権）
第１２条
 注文者が、次の各号の一にあたる義務違反をしたとき、請負者が相当の期間を定めて書面（電子メール等含む）をもって催告してもなお注文者がこれを是正しない場合は、請負者は、工事を中止しまたはこの契約を解除することができる。
一 正当な理由なく前払または部分払を遅滞したとき。
二 正当な理由なく第７条第２項、第９条第１項、第２項および第１０条第４項による協議に応じないとき。
三 工事用地等を請負者の使用に供することができないため、または不可抗力などのため請負者が施工できないとき。
四 前各号のほか、注文者の責に帰すべき理由により工事が著しく遅延したとき。
２ 請負者は、前項に基づく工事の遅延または中止期間が、当初の工期の３分の１以上になったとき、または２か月以上になったときは書面（電子メール等含む）をもってこの契約を解除することができる。
３ 注文者が、正当な理由なく前払いまたは部分払いを拒否する意思を明確に表示したときは、請負者は書面（電子メール等含む）をもって工事を将来に向かって中止し、またはこの契約を解除することができる。
４ 前各項の場合、請負者は注文者に損害の賠償を請求することができる。
（解除に伴う措置）
第１３条 
前２条により、注文者または請負者がこの契約を解除したときは、出来形部分および工事材料・建築設備機器等の処理を含めて、注文者と請負者が協議した上で、注文者は請負者に対して出来形部分の未払い分を支払い、過払いがあるときは、請負者は過払い額について注文者に支払う。
２ 前項の協議の際には、当事者に属する物件について、その期間を定めてその引取り、後片付け等の処置方法を検討して実行する。
３ 第１項の協議が調わない場合および前項の処置が遅れている場合、一方が催告しても他方が正当な理由なくこの処置を行わないときは、自らその処置を実施し、その費用を求償することができる。
（遅延損害金）
第１４条 
請負者の責に帰する事由により、契約期間内に契約の工事が完了できないときは、注文者は遅滞日数１日につき、請負代金から工事済部分と搬入工事材料に対する請負代金相当額を控除した額に年 14.6％の割合を乗じた額の違約金を請求することができる。
２ 注文者が請負代金の支払を完了しないときは、請負者は遅滞日数の１日につき、支払遅滞額に年14.6％の割合を乗じた額の違約金を請求することができる。
（個人情報の取扱い）
第１５条 
注文者は、この契約が請負者の総合的な監督の下、注文者の個人情報（ただし、要配慮個人情報を除く）の一部が、請負者の指定する施工業者、資材メーカー等の第三者に、この契約の履行及び工事完了後のアフターメンテナンス等において必要な範囲内に限り利用されることを承諾するものとする。
</t>
        </is>
      </c>
      <c r="B1" s="179" t="n"/>
      <c r="C1" s="179" t="n"/>
      <c r="D1" s="179" t="n"/>
    </row>
    <row r="2" ht="20.1" customHeight="1" s="7">
      <c r="A2" s="179" t="n"/>
      <c r="B2" s="179" t="n"/>
      <c r="C2" s="179" t="n"/>
      <c r="D2" s="179" t="n"/>
    </row>
    <row r="3" ht="20.1" customHeight="1" s="7">
      <c r="A3" s="179" t="n"/>
      <c r="B3" s="179" t="n"/>
      <c r="C3" s="179" t="n"/>
      <c r="D3" s="179" t="n"/>
    </row>
    <row r="4" ht="20.1" customHeight="1" s="7">
      <c r="A4" s="179" t="n"/>
      <c r="B4" s="179" t="n"/>
      <c r="C4" s="179" t="n"/>
      <c r="D4" s="179" t="n"/>
    </row>
    <row r="5" ht="20.1" customHeight="1" s="7">
      <c r="A5" s="179" t="n"/>
      <c r="B5" s="179" t="n"/>
      <c r="C5" s="179" t="n"/>
      <c r="D5" s="179" t="n"/>
    </row>
    <row r="6" ht="20.1" customHeight="1" s="7">
      <c r="A6" s="179" t="n"/>
      <c r="B6" s="179" t="n"/>
      <c r="C6" s="179" t="n"/>
      <c r="D6" s="179" t="n"/>
    </row>
    <row r="7" ht="20.1" customHeight="1" s="7">
      <c r="A7" s="179" t="n"/>
      <c r="B7" s="179" t="n"/>
      <c r="C7" s="179" t="n"/>
      <c r="D7" s="179" t="n"/>
    </row>
    <row r="8" ht="20.1" customHeight="1" s="7">
      <c r="A8" s="179" t="n"/>
      <c r="B8" s="179" t="n"/>
      <c r="C8" s="179" t="n"/>
      <c r="D8" s="179" t="n"/>
    </row>
    <row r="9" ht="20.1" customHeight="1" s="7">
      <c r="A9" s="179" t="n"/>
      <c r="B9" s="179" t="n"/>
      <c r="C9" s="179" t="n"/>
      <c r="D9" s="179" t="n"/>
    </row>
    <row r="10" ht="20.1" customHeight="1" s="7">
      <c r="A10" s="179" t="n"/>
      <c r="B10" s="179" t="n"/>
      <c r="C10" s="179" t="n"/>
      <c r="D10" s="179" t="n"/>
    </row>
    <row r="11" ht="30" customHeight="1" s="7">
      <c r="A11" s="179" t="n"/>
      <c r="B11" s="179" t="n"/>
      <c r="C11" s="179" t="n"/>
      <c r="D11" s="179" t="n"/>
    </row>
    <row r="12" ht="30" customHeight="1" s="7">
      <c r="A12" s="179" t="n"/>
      <c r="B12" s="179" t="n"/>
      <c r="C12" s="179" t="n"/>
      <c r="D12" s="179" t="n"/>
    </row>
    <row r="13" ht="30" customHeight="1" s="7">
      <c r="A13" s="179" t="n"/>
      <c r="B13" s="179" t="n"/>
      <c r="C13" s="179" t="n"/>
      <c r="D13" s="179" t="n"/>
    </row>
    <row r="14" ht="30" customHeight="1" s="7">
      <c r="A14" s="179" t="n"/>
      <c r="B14" s="179" t="n"/>
      <c r="C14" s="179" t="n"/>
      <c r="D14" s="179" t="n"/>
    </row>
    <row r="15" ht="30" customHeight="1" s="7">
      <c r="A15" s="179" t="n"/>
      <c r="B15" s="179" t="n"/>
      <c r="C15" s="179" t="n"/>
      <c r="D15" s="179" t="n"/>
    </row>
    <row r="16" ht="30" customHeight="1" s="7">
      <c r="A16" s="179" t="n"/>
      <c r="B16" s="179" t="n"/>
      <c r="C16" s="179" t="n"/>
      <c r="D16" s="179" t="n"/>
    </row>
    <row r="17" ht="30" customHeight="1" s="7">
      <c r="A17" s="179" t="n"/>
      <c r="B17" s="179" t="n"/>
      <c r="C17" s="179" t="n"/>
      <c r="D17" s="179" t="n"/>
    </row>
    <row r="18" ht="30" customHeight="1" s="7">
      <c r="A18" s="179" t="n"/>
      <c r="B18" s="179" t="n"/>
      <c r="C18" s="179" t="n"/>
      <c r="D18" s="179" t="n"/>
    </row>
    <row r="19" ht="30" customHeight="1" s="7">
      <c r="A19" s="179" t="n"/>
      <c r="B19" s="179" t="n"/>
      <c r="C19" s="179" t="n"/>
      <c r="D19" s="179" t="n"/>
    </row>
    <row r="20" ht="30" customHeight="1" s="7">
      <c r="A20" s="179" t="n"/>
      <c r="B20" s="179" t="n"/>
      <c r="C20" s="179" t="n"/>
      <c r="D20" s="179" t="n"/>
    </row>
    <row r="21" ht="30" customHeight="1" s="7">
      <c r="A21" s="179" t="n"/>
      <c r="B21" s="179" t="n"/>
      <c r="C21" s="179" t="n"/>
      <c r="D21" s="179" t="n"/>
    </row>
    <row r="22" ht="30" customHeight="1" s="7">
      <c r="A22" s="179" t="n"/>
      <c r="B22" s="179" t="n"/>
      <c r="C22" s="179" t="n"/>
      <c r="D22" s="179" t="n"/>
    </row>
    <row r="23" ht="30" customHeight="1" s="7">
      <c r="A23" s="179" t="n"/>
      <c r="B23" s="179" t="n"/>
      <c r="C23" s="179" t="n"/>
      <c r="D23" s="179" t="n"/>
    </row>
    <row r="24" ht="30" customHeight="1" s="7">
      <c r="A24" s="179" t="n"/>
      <c r="B24" s="179" t="n"/>
      <c r="C24" s="179" t="n"/>
      <c r="D24" s="179" t="n"/>
    </row>
    <row r="25" ht="30" customHeight="1" s="7">
      <c r="A25" s="179" t="n"/>
      <c r="B25" s="179" t="n"/>
      <c r="C25" s="179" t="n"/>
      <c r="D25" s="179" t="n"/>
    </row>
    <row r="26" ht="30" customHeight="1" s="7">
      <c r="A26" s="179" t="n"/>
      <c r="B26" s="179" t="n"/>
      <c r="C26" s="179" t="n"/>
      <c r="D26" s="179" t="n"/>
    </row>
    <row r="27" ht="30" customHeight="1" s="7">
      <c r="A27" s="179" t="n"/>
      <c r="B27" s="179" t="n"/>
      <c r="C27" s="179" t="n"/>
      <c r="D27" s="179" t="n"/>
    </row>
    <row r="28" ht="30" customHeight="1" s="7">
      <c r="A28" s="179" t="n"/>
      <c r="B28" s="179" t="n"/>
      <c r="C28" s="179" t="n"/>
      <c r="D28" s="179" t="n"/>
    </row>
    <row r="29" ht="30" customHeight="1" s="7">
      <c r="A29" s="179" t="n"/>
      <c r="B29" s="179" t="n"/>
      <c r="C29" s="179" t="n"/>
      <c r="D29" s="179" t="n"/>
    </row>
    <row r="30" ht="30" customHeight="1" s="7">
      <c r="A30" s="179" t="n"/>
      <c r="B30" s="179" t="n"/>
      <c r="C30" s="179" t="n"/>
      <c r="D30" s="179" t="n"/>
    </row>
    <row r="31" ht="30" customHeight="1" s="7">
      <c r="A31" s="179" t="n"/>
      <c r="B31" s="179" t="n"/>
      <c r="C31" s="179" t="n"/>
      <c r="D31" s="179" t="n"/>
    </row>
    <row r="32" ht="30" customHeight="1" s="7">
      <c r="A32" s="179" t="n"/>
      <c r="B32" s="179" t="n"/>
      <c r="C32" s="179" t="n"/>
      <c r="D32" s="179" t="n"/>
    </row>
    <row r="33" ht="30" customHeight="1" s="7">
      <c r="A33" s="179" t="n"/>
      <c r="B33" s="179" t="n"/>
      <c r="C33" s="179" t="n"/>
      <c r="D33" s="179" t="n"/>
    </row>
    <row r="34" ht="30" customHeight="1" s="7">
      <c r="A34" s="179" t="n"/>
      <c r="B34" s="179" t="n"/>
      <c r="C34" s="179" t="n"/>
      <c r="D34" s="179" t="n"/>
    </row>
    <row r="35" ht="30" customHeight="1" s="7">
      <c r="A35" s="179" t="n"/>
      <c r="B35" s="179" t="n"/>
      <c r="C35" s="179" t="n"/>
      <c r="D35" s="179" t="n"/>
    </row>
    <row r="36" ht="30" customHeight="1" s="7">
      <c r="A36" s="179" t="n"/>
      <c r="B36" s="179" t="n"/>
      <c r="C36" s="179" t="n"/>
      <c r="D36" s="179" t="n"/>
    </row>
    <row r="37" ht="30" customHeight="1" s="7">
      <c r="A37" s="179" t="n"/>
      <c r="B37" s="179" t="n"/>
      <c r="C37" s="179" t="n"/>
      <c r="D37" s="179" t="n"/>
    </row>
    <row r="38" ht="20.1" customHeight="1" s="7">
      <c r="A38" s="179" t="n"/>
      <c r="B38" s="179" t="n"/>
      <c r="C38" s="179" t="n"/>
      <c r="D38" s="179" t="n"/>
    </row>
    <row r="39" ht="20.1" customHeight="1" s="7">
      <c r="A39" s="179" t="n"/>
      <c r="B39" s="179" t="n"/>
      <c r="C39" s="179" t="n"/>
      <c r="D39" s="179" t="n"/>
    </row>
    <row r="40" ht="20.1" customHeight="1" s="7">
      <c r="A40" s="179" t="n"/>
      <c r="B40" s="179" t="n"/>
      <c r="C40" s="179" t="n"/>
      <c r="D40" s="179" t="n"/>
    </row>
    <row r="41" ht="20.1" customHeight="1" s="7">
      <c r="A41" s="179" t="n"/>
      <c r="B41" s="179" t="n"/>
      <c r="C41" s="179" t="n"/>
      <c r="D41" s="179" t="n"/>
    </row>
    <row r="42" hidden="1" ht="20.1" customHeight="1" s="7">
      <c r="A42" s="179" t="n"/>
      <c r="B42" s="179" t="n"/>
      <c r="C42" s="179" t="n"/>
      <c r="D42" s="179" t="n"/>
    </row>
    <row r="43" hidden="1" ht="15" customHeight="1" s="7">
      <c r="A43" s="179" t="n"/>
      <c r="B43" s="179" t="n"/>
      <c r="C43" s="179" t="n"/>
      <c r="D43" s="179" t="n"/>
    </row>
    <row r="44" hidden="1" ht="7.05" customHeight="1" s="7">
      <c r="A44" s="179" t="n"/>
      <c r="B44" s="179" t="n"/>
      <c r="C44" s="179" t="n"/>
      <c r="D44" s="179" t="n"/>
    </row>
    <row r="45" hidden="1" ht="20.1" customHeight="1" s="7">
      <c r="A45" s="179" t="n"/>
      <c r="B45" s="179" t="n"/>
      <c r="C45" s="179" t="n"/>
      <c r="D45" s="179" t="n"/>
    </row>
    <row r="46" hidden="1" ht="20.1" customHeight="1" s="7">
      <c r="A46" s="179" t="n"/>
      <c r="B46" s="179" t="n"/>
      <c r="C46" s="179" t="n"/>
      <c r="D46" s="179" t="n"/>
    </row>
    <row r="47" hidden="1" ht="15" customHeight="1" s="7">
      <c r="A47" s="179" t="n"/>
      <c r="B47" s="179" t="n"/>
      <c r="C47" s="179" t="n"/>
      <c r="D47" s="179" t="n"/>
    </row>
    <row r="48" hidden="1" ht="20.1" customHeight="1" s="7">
      <c r="A48" s="179" t="n"/>
      <c r="B48" s="179" t="n"/>
      <c r="C48" s="179" t="n"/>
      <c r="D48" s="179" t="n"/>
    </row>
    <row r="49" ht="289.05" customHeight="1" s="7">
      <c r="A49" s="179" t="n"/>
      <c r="B49" s="179" t="n"/>
      <c r="C49" s="179" t="n"/>
      <c r="D49" s="179" t="n"/>
    </row>
    <row r="50" ht="20.1" customHeight="1" s="7">
      <c r="A50" s="268" t="n"/>
      <c r="B50" s="268" t="n"/>
      <c r="C50" s="268" t="n"/>
      <c r="D50" s="268" t="n"/>
    </row>
    <row r="51" ht="20.1" customHeight="1" s="7">
      <c r="A51" s="268" t="n"/>
      <c r="B51" s="268" t="n"/>
      <c r="C51" s="268" t="n"/>
      <c r="D51" s="268" t="n"/>
    </row>
    <row r="52" ht="20.1" customHeight="1" s="7">
      <c r="A52" s="268" t="n"/>
      <c r="B52" s="268" t="n"/>
      <c r="C52" s="268" t="n"/>
      <c r="D52" s="268" t="n"/>
    </row>
    <row r="53" ht="20.1" customHeight="1" s="7">
      <c r="A53" s="268" t="n"/>
      <c r="B53" s="268" t="n"/>
      <c r="C53" s="268" t="n"/>
      <c r="D53" s="268" t="n"/>
    </row>
    <row r="54" ht="20.1" customHeight="1" s="7">
      <c r="A54" s="268" t="n"/>
      <c r="B54" s="268" t="n"/>
      <c r="C54" s="268" t="n"/>
      <c r="D54" s="268" t="n"/>
    </row>
    <row r="55" ht="20.1" customHeight="1" s="7">
      <c r="A55" s="268" t="n"/>
      <c r="B55" s="268" t="n"/>
      <c r="C55" s="268" t="n"/>
      <c r="D55" s="268" t="n"/>
    </row>
    <row r="56" ht="20.1" customHeight="1" s="7">
      <c r="A56" s="268" t="n"/>
      <c r="B56" s="268" t="n"/>
      <c r="C56" s="268" t="n"/>
      <c r="D56" s="268" t="n"/>
    </row>
    <row r="57" ht="20.1" customHeight="1" s="7">
      <c r="A57" s="268" t="n"/>
      <c r="B57" s="268" t="n"/>
      <c r="C57" s="268" t="n"/>
      <c r="D57" s="268" t="n"/>
    </row>
  </sheetData>
  <sheetProtection selectLockedCells="0" selectUnlockedCells="0" sheet="1" objects="1" insertRows="1" insertHyperlinks="1" autoFilter="1" scenarios="1" formatColumns="1" deleteColumns="1" insertColumns="1" pivotTables="1" deleteRows="1" formatCells="1" formatRows="1" sort="1"/>
  <mergeCells count="1">
    <mergeCell ref="A1:D49"/>
  </mergeCells>
  <printOptions horizontalCentered="1" verticalCentered="1"/>
  <pageMargins left="0" right="0" top="0" bottom="0" header="0" footer="0"/>
  <pageSetup orientation="portrait" paperSize="9" scale="59"/>
</worksheet>
</file>

<file path=xl/worksheets/sheet8.xml><?xml version="1.0" encoding="utf-8"?>
<worksheet xmlns="http://schemas.openxmlformats.org/spreadsheetml/2006/main">
  <sheetPr codeName="Sheet8">
    <outlinePr summaryBelow="1" summaryRight="1"/>
    <pageSetUpPr fitToPage="1"/>
  </sheetPr>
  <dimension ref="A1:D57"/>
  <sheetViews>
    <sheetView showGridLines="0" view="pageBreakPreview" zoomScale="80" zoomScaleNormal="100" workbookViewId="0">
      <selection activeCell="A1" sqref="A1:D49"/>
    </sheetView>
  </sheetViews>
  <sheetFormatPr baseColWidth="8" defaultColWidth="5.59765625" defaultRowHeight="30" customHeight="1"/>
  <cols>
    <col width="150.69921875" customWidth="1" style="7" min="1" max="1"/>
    <col hidden="1" width="8.59765625" customWidth="1" style="7" min="2" max="3"/>
    <col hidden="1" width="17.69921875" customWidth="1" style="7" min="4" max="4"/>
  </cols>
  <sheetData>
    <row r="1" ht="20.1" customHeight="1" s="7">
      <c r="A1" s="576" t="inlineStr">
        <is>
          <t xml:space="preserve">
（反社会的勢力からの排除）
第１６条 
注文者と請負者は、相手方に次の各号の一にあたるときは、何らの催告をなくして書面をもってこの契約を解除することができる。
一 役員等（当事者が個人である場合にはその者を、当事者が法人である場合にはその役員またはその支店もしくは常時建設工事の請負契約を締結する事務所の代表者をいう。以下この項において同じ。）が暴力団員による不当な行為の防止等に関する法律第二条第六号に規定する暴力団員（以下この項において「暴力団員」という。）であると認められるとき。
二 暴力団（暴力団員による不当な行為の防止等に関する法律第二条第二号に規定する暴力団をいう。以下この項において同じ。）または暴力団員が経営に実質的に関与していると認められるとき。
三 役員等が暴力団または暴力団員と社会的に非難されるべき関係を有していると認められるとき。
２ この場合、解除した者は相手方に対して損害の賠償を請求することができ、解除された者は損害の賠償を請求することができない。
（紛争の解決）
第１７条 
この契約について、紛争が生じたときは、本物件の所在地の裁判所を第一審管轄裁判所とし、または裁判外の紛争処理機関によって、その解決を図るものとする。
（補則）
第１８条 
この契約書に定めのない事項については、必要に応じ注文者と請負者が誠意をもって協議して定める。
</t>
        </is>
      </c>
      <c r="B1" s="179" t="n"/>
      <c r="C1" s="179" t="n"/>
      <c r="D1" s="179" t="n"/>
    </row>
    <row r="2" ht="20.1" customHeight="1" s="7">
      <c r="A2" s="179" t="n"/>
      <c r="B2" s="179" t="n"/>
      <c r="C2" s="179" t="n"/>
      <c r="D2" s="179" t="n"/>
    </row>
    <row r="3" ht="20.1" customHeight="1" s="7">
      <c r="A3" s="179" t="n"/>
      <c r="B3" s="179" t="n"/>
      <c r="C3" s="179" t="n"/>
      <c r="D3" s="179" t="n"/>
    </row>
    <row r="4" ht="20.1" customHeight="1" s="7">
      <c r="A4" s="179" t="n"/>
      <c r="B4" s="179" t="n"/>
      <c r="C4" s="179" t="n"/>
      <c r="D4" s="179" t="n"/>
    </row>
    <row r="5" ht="20.1" customHeight="1" s="7">
      <c r="A5" s="179" t="n"/>
      <c r="B5" s="179" t="n"/>
      <c r="C5" s="179" t="n"/>
      <c r="D5" s="179" t="n"/>
    </row>
    <row r="6" ht="20.1" customHeight="1" s="7">
      <c r="A6" s="179" t="n"/>
      <c r="B6" s="179" t="n"/>
      <c r="C6" s="179" t="n"/>
      <c r="D6" s="179" t="n"/>
    </row>
    <row r="7" ht="20.1" customHeight="1" s="7">
      <c r="A7" s="179" t="n"/>
      <c r="B7" s="179" t="n"/>
      <c r="C7" s="179" t="n"/>
      <c r="D7" s="179" t="n"/>
    </row>
    <row r="8" ht="20.1" customHeight="1" s="7">
      <c r="A8" s="179" t="n"/>
      <c r="B8" s="179" t="n"/>
      <c r="C8" s="179" t="n"/>
      <c r="D8" s="179" t="n"/>
    </row>
    <row r="9" ht="20.1" customHeight="1" s="7">
      <c r="A9" s="179" t="n"/>
      <c r="B9" s="179" t="n"/>
      <c r="C9" s="179" t="n"/>
      <c r="D9" s="179" t="n"/>
    </row>
    <row r="10" ht="20.1" customHeight="1" s="7">
      <c r="A10" s="179" t="n"/>
      <c r="B10" s="179" t="n"/>
      <c r="C10" s="179" t="n"/>
      <c r="D10" s="179" t="n"/>
    </row>
    <row r="11" ht="30" customHeight="1" s="7">
      <c r="A11" s="179" t="n"/>
      <c r="B11" s="179" t="n"/>
      <c r="C11" s="179" t="n"/>
      <c r="D11" s="179" t="n"/>
    </row>
    <row r="12" ht="30" customHeight="1" s="7">
      <c r="A12" s="179" t="n"/>
      <c r="B12" s="179" t="n"/>
      <c r="C12" s="179" t="n"/>
      <c r="D12" s="179" t="n"/>
    </row>
    <row r="13" ht="30" customHeight="1" s="7">
      <c r="A13" s="179" t="n"/>
      <c r="B13" s="179" t="n"/>
      <c r="C13" s="179" t="n"/>
      <c r="D13" s="179" t="n"/>
    </row>
    <row r="14" ht="30" customHeight="1" s="7">
      <c r="A14" s="179" t="n"/>
      <c r="B14" s="179" t="n"/>
      <c r="C14" s="179" t="n"/>
      <c r="D14" s="179" t="n"/>
    </row>
    <row r="15" ht="30" customHeight="1" s="7">
      <c r="A15" s="179" t="n"/>
      <c r="B15" s="179" t="n"/>
      <c r="C15" s="179" t="n"/>
      <c r="D15" s="179" t="n"/>
    </row>
    <row r="16" ht="30" customHeight="1" s="7">
      <c r="A16" s="179" t="n"/>
      <c r="B16" s="179" t="n"/>
      <c r="C16" s="179" t="n"/>
      <c r="D16" s="179" t="n"/>
    </row>
    <row r="17" ht="30" customHeight="1" s="7">
      <c r="A17" s="179" t="n"/>
      <c r="B17" s="179" t="n"/>
      <c r="C17" s="179" t="n"/>
      <c r="D17" s="179" t="n"/>
    </row>
    <row r="18" ht="30" customHeight="1" s="7">
      <c r="A18" s="179" t="n"/>
      <c r="B18" s="179" t="n"/>
      <c r="C18" s="179" t="n"/>
      <c r="D18" s="179" t="n"/>
    </row>
    <row r="19" ht="30" customHeight="1" s="7">
      <c r="A19" s="179" t="n"/>
      <c r="B19" s="179" t="n"/>
      <c r="C19" s="179" t="n"/>
      <c r="D19" s="179" t="n"/>
    </row>
    <row r="20" ht="30" customHeight="1" s="7">
      <c r="A20" s="179" t="n"/>
      <c r="B20" s="179" t="n"/>
      <c r="C20" s="179" t="n"/>
      <c r="D20" s="179" t="n"/>
    </row>
    <row r="21" ht="30" customHeight="1" s="7">
      <c r="A21" s="179" t="n"/>
      <c r="B21" s="179" t="n"/>
      <c r="C21" s="179" t="n"/>
      <c r="D21" s="179" t="n"/>
    </row>
    <row r="22" ht="30" customHeight="1" s="7">
      <c r="A22" s="179" t="n"/>
      <c r="B22" s="179" t="n"/>
      <c r="C22" s="179" t="n"/>
      <c r="D22" s="179" t="n"/>
    </row>
    <row r="23" ht="30" customHeight="1" s="7">
      <c r="A23" s="179" t="n"/>
      <c r="B23" s="179" t="n"/>
      <c r="C23" s="179" t="n"/>
      <c r="D23" s="179" t="n"/>
    </row>
    <row r="24" ht="30" customHeight="1" s="7">
      <c r="A24" s="179" t="n"/>
      <c r="B24" s="179" t="n"/>
      <c r="C24" s="179" t="n"/>
      <c r="D24" s="179" t="n"/>
    </row>
    <row r="25" ht="30" customHeight="1" s="7">
      <c r="A25" s="179" t="n"/>
      <c r="B25" s="179" t="n"/>
      <c r="C25" s="179" t="n"/>
      <c r="D25" s="179" t="n"/>
    </row>
    <row r="26" ht="30" customHeight="1" s="7">
      <c r="A26" s="179" t="n"/>
      <c r="B26" s="179" t="n"/>
      <c r="C26" s="179" t="n"/>
      <c r="D26" s="179" t="n"/>
    </row>
    <row r="27" ht="30" customHeight="1" s="7">
      <c r="A27" s="179" t="n"/>
      <c r="B27" s="179" t="n"/>
      <c r="C27" s="179" t="n"/>
      <c r="D27" s="179" t="n"/>
    </row>
    <row r="28" ht="30" customHeight="1" s="7">
      <c r="A28" s="179" t="n"/>
      <c r="B28" s="179" t="n"/>
      <c r="C28" s="179" t="n"/>
      <c r="D28" s="179" t="n"/>
    </row>
    <row r="29" ht="30" customHeight="1" s="7">
      <c r="A29" s="179" t="n"/>
      <c r="B29" s="179" t="n"/>
      <c r="C29" s="179" t="n"/>
      <c r="D29" s="179" t="n"/>
    </row>
    <row r="30" ht="30" customHeight="1" s="7">
      <c r="A30" s="179" t="n"/>
      <c r="B30" s="179" t="n"/>
      <c r="C30" s="179" t="n"/>
      <c r="D30" s="179" t="n"/>
    </row>
    <row r="31" ht="30" customHeight="1" s="7">
      <c r="A31" s="179" t="n"/>
      <c r="B31" s="179" t="n"/>
      <c r="C31" s="179" t="n"/>
      <c r="D31" s="179" t="n"/>
    </row>
    <row r="32" ht="30" customHeight="1" s="7">
      <c r="A32" s="179" t="n"/>
      <c r="B32" s="179" t="n"/>
      <c r="C32" s="179" t="n"/>
      <c r="D32" s="179" t="n"/>
    </row>
    <row r="33" ht="30" customHeight="1" s="7">
      <c r="A33" s="179" t="n"/>
      <c r="B33" s="179" t="n"/>
      <c r="C33" s="179" t="n"/>
      <c r="D33" s="179" t="n"/>
    </row>
    <row r="34" ht="30" customHeight="1" s="7">
      <c r="A34" s="179" t="n"/>
      <c r="B34" s="179" t="n"/>
      <c r="C34" s="179" t="n"/>
      <c r="D34" s="179" t="n"/>
    </row>
    <row r="35" ht="30" customHeight="1" s="7">
      <c r="A35" s="179" t="n"/>
      <c r="B35" s="179" t="n"/>
      <c r="C35" s="179" t="n"/>
      <c r="D35" s="179" t="n"/>
    </row>
    <row r="36" ht="30" customHeight="1" s="7">
      <c r="A36" s="179" t="n"/>
      <c r="B36" s="179" t="n"/>
      <c r="C36" s="179" t="n"/>
      <c r="D36" s="179" t="n"/>
    </row>
    <row r="37" ht="30" customHeight="1" s="7">
      <c r="A37" s="179" t="n"/>
      <c r="B37" s="179" t="n"/>
      <c r="C37" s="179" t="n"/>
      <c r="D37" s="179" t="n"/>
    </row>
    <row r="38" ht="20.1" customHeight="1" s="7">
      <c r="A38" s="179" t="n"/>
      <c r="B38" s="179" t="n"/>
      <c r="C38" s="179" t="n"/>
      <c r="D38" s="179" t="n"/>
    </row>
    <row r="39" ht="20.1" customHeight="1" s="7">
      <c r="A39" s="179" t="n"/>
      <c r="B39" s="179" t="n"/>
      <c r="C39" s="179" t="n"/>
      <c r="D39" s="179" t="n"/>
    </row>
    <row r="40" ht="20.1" customHeight="1" s="7">
      <c r="A40" s="179" t="n"/>
      <c r="B40" s="179" t="n"/>
      <c r="C40" s="179" t="n"/>
      <c r="D40" s="179" t="n"/>
    </row>
    <row r="41" ht="20.1" customHeight="1" s="7">
      <c r="A41" s="179" t="n"/>
      <c r="B41" s="179" t="n"/>
      <c r="C41" s="179" t="n"/>
      <c r="D41" s="179" t="n"/>
    </row>
    <row r="42" hidden="1" ht="20.1" customHeight="1" s="7">
      <c r="A42" s="179" t="n"/>
      <c r="B42" s="179" t="n"/>
      <c r="C42" s="179" t="n"/>
      <c r="D42" s="179" t="n"/>
    </row>
    <row r="43" hidden="1" ht="15" customHeight="1" s="7">
      <c r="A43" s="179" t="n"/>
      <c r="B43" s="179" t="n"/>
      <c r="C43" s="179" t="n"/>
      <c r="D43" s="179" t="n"/>
    </row>
    <row r="44" hidden="1" ht="7.05" customHeight="1" s="7">
      <c r="A44" s="179" t="n"/>
      <c r="B44" s="179" t="n"/>
      <c r="C44" s="179" t="n"/>
      <c r="D44" s="179" t="n"/>
    </row>
    <row r="45" hidden="1" ht="20.1" customHeight="1" s="7">
      <c r="A45" s="179" t="n"/>
      <c r="B45" s="179" t="n"/>
      <c r="C45" s="179" t="n"/>
      <c r="D45" s="179" t="n"/>
    </row>
    <row r="46" hidden="1" ht="20.1" customHeight="1" s="7">
      <c r="A46" s="179" t="n"/>
      <c r="B46" s="179" t="n"/>
      <c r="C46" s="179" t="n"/>
      <c r="D46" s="179" t="n"/>
    </row>
    <row r="47" hidden="1" ht="15" customHeight="1" s="7">
      <c r="A47" s="179" t="n"/>
      <c r="B47" s="179" t="n"/>
      <c r="C47" s="179" t="n"/>
      <c r="D47" s="179" t="n"/>
    </row>
    <row r="48" hidden="1" ht="20.1" customHeight="1" s="7">
      <c r="A48" s="179" t="n"/>
      <c r="B48" s="179" t="n"/>
      <c r="C48" s="179" t="n"/>
      <c r="D48" s="179" t="n"/>
    </row>
    <row r="49" ht="289.05" customHeight="1" s="7">
      <c r="A49" s="179" t="n"/>
      <c r="B49" s="179" t="n"/>
      <c r="C49" s="179" t="n"/>
      <c r="D49" s="179" t="n"/>
    </row>
    <row r="50" ht="20.1" customHeight="1" s="7">
      <c r="A50" s="268" t="n"/>
      <c r="B50" s="268" t="n"/>
      <c r="C50" s="268" t="n"/>
      <c r="D50" s="268" t="n"/>
    </row>
    <row r="51" ht="20.1" customHeight="1" s="7">
      <c r="A51" s="268" t="n"/>
      <c r="B51" s="268" t="n"/>
      <c r="C51" s="268" t="n"/>
      <c r="D51" s="268" t="n"/>
    </row>
    <row r="52" ht="20.1" customHeight="1" s="7">
      <c r="A52" s="268" t="n"/>
      <c r="B52" s="268" t="n"/>
      <c r="C52" s="268" t="n"/>
      <c r="D52" s="268" t="n"/>
    </row>
    <row r="53" ht="20.1" customHeight="1" s="7">
      <c r="A53" s="268" t="n"/>
      <c r="B53" s="268" t="n"/>
      <c r="C53" s="268" t="n"/>
      <c r="D53" s="268" t="n"/>
    </row>
    <row r="54" ht="20.1" customHeight="1" s="7">
      <c r="A54" s="268" t="n"/>
      <c r="B54" s="268" t="n"/>
      <c r="C54" s="268" t="n"/>
      <c r="D54" s="268" t="n"/>
    </row>
    <row r="55" ht="20.1" customHeight="1" s="7">
      <c r="A55" s="268" t="n"/>
      <c r="B55" s="268" t="n"/>
      <c r="C55" s="268" t="n"/>
      <c r="D55" s="268" t="n"/>
    </row>
    <row r="56" ht="20.1" customHeight="1" s="7">
      <c r="A56" s="268" t="n"/>
      <c r="B56" s="268" t="n"/>
      <c r="C56" s="268" t="n"/>
      <c r="D56" s="268" t="n"/>
    </row>
    <row r="57" ht="20.1" customHeight="1" s="7">
      <c r="A57" s="268" t="n"/>
      <c r="B57" s="268" t="n"/>
      <c r="C57" s="268" t="n"/>
      <c r="D57" s="268" t="n"/>
    </row>
  </sheetData>
  <sheetProtection selectLockedCells="0" selectUnlockedCells="0" sheet="1" objects="1" insertRows="1" insertHyperlinks="1" autoFilter="1" scenarios="1" formatColumns="1" deleteColumns="1" insertColumns="1" pivotTables="1" deleteRows="1" formatCells="1" formatRows="1" sort="1"/>
  <mergeCells count="1">
    <mergeCell ref="A1:D49"/>
  </mergeCells>
  <printOptions horizontalCentered="1" verticalCentered="1"/>
  <pageMargins left="0" right="0" top="0" bottom="0" header="0" footer="0"/>
  <pageSetup orientation="portrait" paperSize="9" scale="59"/>
</worksheet>
</file>

<file path=xl/worksheets/sheet9.xml><?xml version="1.0" encoding="utf-8"?>
<worksheet xmlns="http://schemas.openxmlformats.org/spreadsheetml/2006/main">
  <sheetPr codeName="Sheet9">
    <outlinePr summaryBelow="1" summaryRight="1"/>
    <pageSetUpPr/>
  </sheetPr>
  <dimension ref="A1:I74"/>
  <sheetViews>
    <sheetView showGridLines="0" view="pageBreakPreview" topLeftCell="A33" zoomScaleNormal="100" workbookViewId="0">
      <selection activeCell="G34" sqref="G34"/>
    </sheetView>
  </sheetViews>
  <sheetFormatPr baseColWidth="8" defaultColWidth="8.69921875" defaultRowHeight="16.5" customHeight="1"/>
  <cols>
    <col width="8.69921875" customWidth="1" style="622" min="1" max="8"/>
    <col width="8.796875" customWidth="1" style="622" min="9" max="9"/>
    <col width="8.69921875" customWidth="1" style="622" min="10" max="16384"/>
  </cols>
  <sheetData>
    <row r="1" ht="16.5" customHeight="1" s="7">
      <c r="A1" s="582" t="inlineStr">
        <is>
          <t>（特定商取引に関する法律の適用を受ける場合のクーリングオフについての説明書）</t>
        </is>
      </c>
    </row>
    <row r="2" ht="16.5" customHeight="1" s="7"/>
    <row r="3" ht="16.5" customHeight="1" s="7">
      <c r="A3" s="272" t="n"/>
      <c r="B3" s="272" t="n"/>
      <c r="C3" s="272" t="n"/>
      <c r="D3" s="272" t="n"/>
      <c r="E3" s="272" t="n"/>
      <c r="F3" s="272" t="n"/>
      <c r="G3" s="272" t="n"/>
      <c r="H3" s="272" t="n"/>
      <c r="I3" s="272" t="n"/>
    </row>
    <row r="4" ht="22.5" customHeight="1" s="7" thickBot="1">
      <c r="A4" s="272" t="n"/>
      <c r="B4" s="272" t="n"/>
      <c r="C4" s="272" t="n"/>
      <c r="D4" s="272" t="n"/>
      <c r="E4" s="272" t="n"/>
      <c r="F4" s="272" t="n"/>
      <c r="G4" s="272" t="n"/>
      <c r="H4" s="272" t="n"/>
      <c r="I4" s="272" t="n"/>
    </row>
    <row r="5" ht="41.1" customHeight="1" s="7">
      <c r="A5" s="843" t="inlineStr">
        <is>
          <t xml:space="preserve">ご契約いただきますリフォーム工事またはインテリア商品等販売が「特定商取引に関する法律」の適用を受ける場合（注）で、クーリングオフを行おうとする場合には、この説明書・工事請負契約約款を充分お読み下さい。
（注）「特定商取引に関する法律」の適用を受ける場合：訪問販売、電話勧誘販売による取引
Ⅰ 契約の解除（クーリングオフ）を行おうとする場合
①「特定商取引に関する法律」の適用を受ける場合（注）で、クーリングオフを行おうとする場合には、この書面を受領した日から起算して８日以内は、お客様（注文者）は書面をもって工事請負契約の解除（クーリングオフと呼びます）ができ、その効力は解除する旨の書面をしたときに生ずるものとします。ただし、次のような場合等にはクーリングオフの権利行使はできません。
ア）お客様（注文者）がリフォーム工事建物等を営業用に利用する場合や、お客様（注文者）からのご請求によりご自宅でのお申し込みまたはご契約を行った場合等
イ）壁紙などの消耗品を使用（最小包装単位）または、3,000 円未満の現金取引
②上記クーリングオフの行使を妨げるために請負者が不実のことを告げたことによりお客様（注文者）が誤認し、または威迫したことにより困惑してクーリングオフを行わなかった場合は、請負者から、クーリングオフ妨害の解消のための書面が交付され、その内容について説明を受けた日から８日を経過するまでは書面によりクーリングオフすることができます。
Ⅱ上記期間内に契約の解除（クーリングオフ）があった場合
①請負者は契約の解除に伴う損害賠償または違約金支払を請求することはありません。
②契約の解除があった場合に、既に商品の引渡しが行われているときは、その引取りに要する費用は請負者の負担とします。
③契約解除のお申し出の際に既に受領した金員がある場合は、すみやかにその全額を無利息にて返還いたします。
④役務の提供に伴い、土地または建物その他の工作物の現状が変更された場合には、お客様（注文者）は無料で元の状態にもどすよう請求することができます。
⑤すでに役務が提供されたときにおいても、請負者は、お客様（注文者）に提供した役務の対価、その他の金銭の支払を請求することはありません。
</t>
        </is>
      </c>
      <c r="B5" s="844" t="n"/>
      <c r="C5" s="844" t="n"/>
      <c r="D5" s="844" t="n"/>
      <c r="E5" s="844" t="n"/>
      <c r="F5" s="844" t="n"/>
      <c r="G5" s="844" t="n"/>
      <c r="H5" s="844" t="n"/>
      <c r="I5" s="845" t="n"/>
    </row>
    <row r="6" ht="16.5" customHeight="1" s="7">
      <c r="A6" s="846" t="n"/>
      <c r="I6" s="847" t="n"/>
    </row>
    <row r="7" ht="16.5" customHeight="1" s="7">
      <c r="A7" s="846" t="n"/>
      <c r="I7" s="847" t="n"/>
    </row>
    <row r="8" ht="16.5" customHeight="1" s="7">
      <c r="A8" s="846" t="n"/>
      <c r="I8" s="847" t="n"/>
    </row>
    <row r="9" ht="16.5" customHeight="1" s="7">
      <c r="A9" s="846" t="n"/>
      <c r="I9" s="847" t="n"/>
    </row>
    <row r="10" ht="16.5" customHeight="1" s="7">
      <c r="A10" s="846" t="n"/>
      <c r="I10" s="847" t="n"/>
    </row>
    <row r="11" ht="16.5" customHeight="1" s="7">
      <c r="A11" s="846" t="n"/>
      <c r="I11" s="847" t="n"/>
    </row>
    <row r="12" ht="16.5" customHeight="1" s="7">
      <c r="A12" s="846" t="n"/>
      <c r="I12" s="847" t="n"/>
    </row>
    <row r="13" ht="16.5" customHeight="1" s="7">
      <c r="A13" s="846" t="n"/>
      <c r="I13" s="847" t="n"/>
    </row>
    <row r="14" ht="16.5" customHeight="1" s="7">
      <c r="A14" s="846" t="n"/>
      <c r="I14" s="847" t="n"/>
    </row>
    <row r="15" ht="16.5" customHeight="1" s="7">
      <c r="A15" s="846" t="n"/>
      <c r="I15" s="847" t="n"/>
    </row>
    <row r="16" ht="16.5" customHeight="1" s="7">
      <c r="A16" s="846" t="n"/>
      <c r="I16" s="847" t="n"/>
    </row>
    <row r="17" ht="16.5" customHeight="1" s="7">
      <c r="A17" s="846" t="n"/>
      <c r="I17" s="847" t="n"/>
    </row>
    <row r="18" ht="16.5" customHeight="1" s="7">
      <c r="A18" s="846" t="n"/>
      <c r="I18" s="847" t="n"/>
    </row>
    <row r="19" ht="16.5" customHeight="1" s="7">
      <c r="A19" s="846" t="n"/>
      <c r="I19" s="847" t="n"/>
    </row>
    <row r="20" ht="16.5" customHeight="1" s="7">
      <c r="A20" s="846" t="n"/>
      <c r="I20" s="847" t="n"/>
    </row>
    <row r="21" ht="16.5" customHeight="1" s="7">
      <c r="A21" s="846" t="n"/>
      <c r="I21" s="847" t="n"/>
    </row>
    <row r="22" ht="16.5" customHeight="1" s="7">
      <c r="A22" s="846" t="n"/>
      <c r="I22" s="847" t="n"/>
    </row>
    <row r="23" ht="16.5" customHeight="1" s="7">
      <c r="A23" s="846" t="n"/>
      <c r="I23" s="847" t="n"/>
    </row>
    <row r="24" ht="16.5" customHeight="1" s="7">
      <c r="A24" s="846" t="n"/>
      <c r="I24" s="847" t="n"/>
    </row>
    <row r="25" ht="16.5" customHeight="1" s="7">
      <c r="A25" s="846" t="n"/>
      <c r="I25" s="847" t="n"/>
    </row>
    <row r="26" ht="16.5" customHeight="1" s="7">
      <c r="A26" s="846" t="n"/>
      <c r="I26" s="847" t="n"/>
    </row>
    <row r="27" ht="16.5" customHeight="1" s="7">
      <c r="A27" s="846" t="n"/>
      <c r="I27" s="847" t="n"/>
    </row>
    <row r="28" ht="46.05" customHeight="1" s="7" thickBot="1">
      <c r="A28" s="848" t="n"/>
      <c r="B28" s="849" t="n"/>
      <c r="C28" s="849" t="n"/>
      <c r="D28" s="849" t="n"/>
      <c r="E28" s="849" t="n"/>
      <c r="F28" s="849" t="n"/>
      <c r="G28" s="849" t="n"/>
      <c r="H28" s="849" t="n"/>
      <c r="I28" s="850" t="n"/>
    </row>
    <row r="30" ht="12" customHeight="1" s="7">
      <c r="A30" s="578" t="inlineStr">
        <is>
          <t>□本契約におけるリフォーム工事に同意する</t>
        </is>
      </c>
    </row>
    <row r="31" ht="16.5" customHeight="1" s="7">
      <c r="A31" s="578" t="inlineStr">
        <is>
          <t>□クーリング・オフについての説明を受け承諾しました</t>
        </is>
      </c>
      <c r="B31" s="578" t="n"/>
      <c r="C31" s="578" t="n"/>
      <c r="D31" s="578" t="n"/>
      <c r="E31" s="578" t="n"/>
    </row>
    <row r="32" ht="16.5" customHeight="1" s="7">
      <c r="A32" s="578" t="inlineStr">
        <is>
          <t>契約年月日：</t>
        </is>
      </c>
      <c r="B32" s="578" t="inlineStr">
        <is>
          <t xml:space="preserve">　　　　年　　月　　日</t>
        </is>
      </c>
      <c r="C32" s="578" t="n"/>
      <c r="D32" s="578" t="n"/>
      <c r="E32" s="578" t="n"/>
    </row>
    <row r="33" ht="25.05" customHeight="1" s="7">
      <c r="A33" s="578" t="inlineStr">
        <is>
          <t>お客様氏名：</t>
        </is>
      </c>
    </row>
    <row r="34" ht="30" customHeight="1" s="7">
      <c r="A34" s="578" t="inlineStr">
        <is>
          <t>説明担当者：Renovation Shop りほむる</t>
        </is>
      </c>
      <c r="H34" s="271" t="inlineStr">
        <is>
          <t>お客様印</t>
        </is>
      </c>
      <c r="I34" s="271" t="inlineStr">
        <is>
          <t>担当者印</t>
        </is>
      </c>
    </row>
    <row r="35" ht="16.5" customHeight="1" s="7">
      <c r="A35" s="578" t="inlineStr">
        <is>
          <t>備考：</t>
        </is>
      </c>
      <c r="H35" s="271" t="n"/>
      <c r="I35" s="271" t="n"/>
    </row>
    <row r="36" ht="16.5" customHeight="1" s="7">
      <c r="H36" s="851" t="n"/>
      <c r="I36" s="851" t="n"/>
    </row>
    <row r="37" ht="16.5" customHeight="1" s="7">
      <c r="H37" s="852" t="n"/>
      <c r="I37" s="852" t="n"/>
    </row>
    <row r="38" ht="16.5" customHeight="1" s="7">
      <c r="A38" s="582" t="inlineStr">
        <is>
          <t>（特定商取引に関する法律の適用を受ける場合のクーリングオフについての説明書）</t>
        </is>
      </c>
    </row>
    <row r="39" ht="16.5" customHeight="1" s="7"/>
    <row r="40" ht="16.5" customHeight="1" s="7">
      <c r="A40" s="272" t="n"/>
      <c r="B40" s="272" t="n"/>
      <c r="C40" s="272" t="n"/>
      <c r="D40" s="272" t="n"/>
      <c r="E40" s="272" t="n"/>
      <c r="F40" s="272" t="n"/>
      <c r="G40" s="272" t="n"/>
      <c r="H40" s="272" t="n"/>
      <c r="I40" s="272" t="n"/>
    </row>
    <row r="41" ht="22.5" customHeight="1" s="7" thickBot="1">
      <c r="A41" s="272" t="n"/>
      <c r="B41" s="272" t="n"/>
      <c r="C41" s="272" t="n"/>
      <c r="D41" s="272" t="n"/>
      <c r="E41" s="272" t="n"/>
      <c r="F41" s="272" t="n"/>
      <c r="G41" s="272" t="n"/>
      <c r="H41" s="272" t="n"/>
      <c r="I41" s="272" t="n"/>
    </row>
    <row r="42" ht="41.1" customHeight="1" s="7">
      <c r="A42" s="843" t="inlineStr">
        <is>
          <t xml:space="preserve">ご契約いただきますリフォーム工事またはインテリア商品等販売が「特定商取引に関する法律」の適用を受ける場合（注）で、クーリングオフを行おうとする場合には、この説明書・工事請負契約約款を充分お読み下さい。
（注）「特定商取引に関する法律」の適用を受ける場合：訪問販売、電話勧誘販売による取引
Ⅰ 契約の解除（クーリングオフ）を行おうとする場合
①「特定商取引に関する法律」の適用を受ける場合（注）で、クーリングオフを行おうとする場合には、この書面を受領した日から起算して８日以内は、お客様（注文者）は書面をもって工事請負契約の解除（クーリングオフと呼びます）ができ、その効力は解除する旨の書面をしたときに生ずるものとします。ただし、次のような場合等にはクーリングオフの権利行使はできません。
ア）お客様（注文者）がリフォーム工事建物等を営業用に利用する場合や、お客様（注文者）からのご請求によりご自宅でのお申し込みまたはご契約を行った場合等
イ）壁紙などの消耗品を使用（最小包装単位）または、3,000 円未満の現金取引
②上記クーリングオフの行使を妨げるために請負者が不実のことを告げたことによりお客様（注文者）が誤認し、または威迫したことにより困惑してクーリングオフを行わなかった場合は、請負者から、クーリングオフ妨害の解消のための書面が交付され、その内容について説明を受けた日から８日を経過するまでは書面によりクーリングオフすることができます。
Ⅱ上記期間内に契約の解除（クーリングオフ）があった場合
①請負者は契約の解除に伴う損害賠償または違約金支払を請求することはありません。
②契約の解除があった場合に、既に商品の引渡しが行われているときは、その引取りに要する費用は請負者の負担とします。
③契約解除のお申し出の際に既に受領した金員がある場合は、すみやかにその全額を無利息にて返還いたします。
④役務の提供に伴い、土地または建物その他の工作物の現状が変更された場合には、お客様（注文者）は無料で元の状態にもどすよう請求することができます。
⑤すでに役務が提供されたときにおいても、請負者は、お客様（注文者）に提供した役務の対価、その他の金銭の支払を請求することはありません。
</t>
        </is>
      </c>
      <c r="B42" s="844" t="n"/>
      <c r="C42" s="844" t="n"/>
      <c r="D42" s="844" t="n"/>
      <c r="E42" s="844" t="n"/>
      <c r="F42" s="844" t="n"/>
      <c r="G42" s="844" t="n"/>
      <c r="H42" s="844" t="n"/>
      <c r="I42" s="845" t="n"/>
    </row>
    <row r="43" ht="16.5" customHeight="1" s="7">
      <c r="A43" s="846" t="n"/>
      <c r="I43" s="847" t="n"/>
    </row>
    <row r="44" ht="16.5" customHeight="1" s="7">
      <c r="A44" s="846" t="n"/>
      <c r="I44" s="847" t="n"/>
    </row>
    <row r="45" ht="16.5" customHeight="1" s="7">
      <c r="A45" s="846" t="n"/>
      <c r="I45" s="847" t="n"/>
    </row>
    <row r="46" ht="16.5" customHeight="1" s="7">
      <c r="A46" s="846" t="n"/>
      <c r="I46" s="847" t="n"/>
    </row>
    <row r="47" ht="16.5" customHeight="1" s="7">
      <c r="A47" s="846" t="n"/>
      <c r="I47" s="847" t="n"/>
    </row>
    <row r="48" ht="16.5" customHeight="1" s="7">
      <c r="A48" s="846" t="n"/>
      <c r="I48" s="847" t="n"/>
    </row>
    <row r="49" ht="16.5" customHeight="1" s="7">
      <c r="A49" s="846" t="n"/>
      <c r="I49" s="847" t="n"/>
    </row>
    <row r="50" ht="16.5" customHeight="1" s="7">
      <c r="A50" s="846" t="n"/>
      <c r="I50" s="847" t="n"/>
    </row>
    <row r="51" ht="16.5" customHeight="1" s="7">
      <c r="A51" s="846" t="n"/>
      <c r="I51" s="847" t="n"/>
    </row>
    <row r="52" ht="16.5" customHeight="1" s="7">
      <c r="A52" s="846" t="n"/>
      <c r="I52" s="847" t="n"/>
    </row>
    <row r="53" ht="16.5" customHeight="1" s="7">
      <c r="A53" s="846" t="n"/>
      <c r="I53" s="847" t="n"/>
    </row>
    <row r="54" ht="16.5" customHeight="1" s="7">
      <c r="A54" s="846" t="n"/>
      <c r="I54" s="847" t="n"/>
    </row>
    <row r="55" ht="16.5" customHeight="1" s="7">
      <c r="A55" s="846" t="n"/>
      <c r="I55" s="847" t="n"/>
    </row>
    <row r="56" ht="16.5" customHeight="1" s="7">
      <c r="A56" s="846" t="n"/>
      <c r="I56" s="847" t="n"/>
    </row>
    <row r="57" ht="16.5" customHeight="1" s="7">
      <c r="A57" s="846" t="n"/>
      <c r="I57" s="847" t="n"/>
    </row>
    <row r="58" ht="16.5" customHeight="1" s="7">
      <c r="A58" s="846" t="n"/>
      <c r="I58" s="847" t="n"/>
    </row>
    <row r="59" ht="16.5" customHeight="1" s="7">
      <c r="A59" s="846" t="n"/>
      <c r="I59" s="847" t="n"/>
    </row>
    <row r="60" ht="16.5" customHeight="1" s="7">
      <c r="A60" s="846" t="n"/>
      <c r="I60" s="847" t="n"/>
    </row>
    <row r="61" ht="16.5" customHeight="1" s="7">
      <c r="A61" s="846" t="n"/>
      <c r="I61" s="847" t="n"/>
    </row>
    <row r="62" ht="16.5" customHeight="1" s="7">
      <c r="A62" s="846" t="n"/>
      <c r="I62" s="847" t="n"/>
    </row>
    <row r="63" ht="16.5" customHeight="1" s="7">
      <c r="A63" s="846" t="n"/>
      <c r="I63" s="847" t="n"/>
    </row>
    <row r="64" ht="16.5" customHeight="1" s="7">
      <c r="A64" s="846" t="n"/>
      <c r="I64" s="847" t="n"/>
    </row>
    <row r="65" ht="46.05" customHeight="1" s="7" thickBot="1">
      <c r="A65" s="848" t="n"/>
      <c r="B65" s="849" t="n"/>
      <c r="C65" s="849" t="n"/>
      <c r="D65" s="849" t="n"/>
      <c r="E65" s="849" t="n"/>
      <c r="F65" s="849" t="n"/>
      <c r="G65" s="849" t="n"/>
      <c r="H65" s="849" t="n"/>
      <c r="I65" s="850" t="n"/>
    </row>
    <row r="67" ht="12" customHeight="1" s="7">
      <c r="A67" s="578" t="inlineStr">
        <is>
          <t>□本契約におけるリフォーム工事に同意する</t>
        </is>
      </c>
    </row>
    <row r="68" ht="16.5" customHeight="1" s="7">
      <c r="A68" s="578" t="inlineStr">
        <is>
          <t>□クーリング・オフについての説明を受け承諾しました</t>
        </is>
      </c>
      <c r="B68" s="578" t="n"/>
      <c r="C68" s="578" t="n"/>
      <c r="D68" s="578" t="n"/>
      <c r="E68" s="578" t="n"/>
    </row>
    <row r="69" ht="16.5" customHeight="1" s="7">
      <c r="A69" s="578" t="inlineStr">
        <is>
          <t>契約年月日：</t>
        </is>
      </c>
      <c r="B69" s="578" t="inlineStr">
        <is>
          <t xml:space="preserve">　　　　年　　月　　日</t>
        </is>
      </c>
      <c r="C69" s="578" t="n"/>
      <c r="D69" s="578" t="n"/>
      <c r="E69" s="578" t="n"/>
    </row>
    <row r="70" ht="25.05" customHeight="1" s="7">
      <c r="A70" s="578" t="inlineStr">
        <is>
          <t>お客様氏名：</t>
        </is>
      </c>
    </row>
    <row r="71" ht="30" customHeight="1" s="7">
      <c r="A71" s="578">
        <f>クーリングオフ説明!A34</f>
        <v/>
      </c>
      <c r="H71" s="271" t="inlineStr">
        <is>
          <t>お客様印</t>
        </is>
      </c>
      <c r="I71" s="271" t="inlineStr">
        <is>
          <t>担当者印</t>
        </is>
      </c>
    </row>
    <row r="72" ht="16.5" customHeight="1" s="7">
      <c r="A72" s="578" t="inlineStr">
        <is>
          <t>備考：</t>
        </is>
      </c>
      <c r="H72" s="271" t="n"/>
      <c r="I72" s="271" t="n"/>
    </row>
    <row r="73" ht="16.5" customHeight="1" s="7">
      <c r="H73" s="851" t="n"/>
      <c r="I73" s="851" t="n"/>
    </row>
    <row r="74" ht="16.5" customHeight="1" s="7">
      <c r="H74" s="852" t="n"/>
      <c r="I74" s="852" t="n"/>
    </row>
  </sheetData>
  <sheetProtection selectLockedCells="0" selectUnlockedCells="0" sheet="1" objects="1" insertRows="1" insertHyperlinks="1" autoFilter="1" scenarios="1" formatColumns="1" deleteColumns="1" insertColumns="1" pivotTables="1" deleteRows="1" formatCells="1" formatRows="1" sort="1"/>
  <mergeCells count="16">
    <mergeCell ref="H35:H37"/>
    <mergeCell ref="I35:I37"/>
    <mergeCell ref="A33:G33"/>
    <mergeCell ref="A70:G70"/>
    <mergeCell ref="A34:D34"/>
    <mergeCell ref="I72:I74"/>
    <mergeCell ref="A42:I65"/>
    <mergeCell ref="A5:I28"/>
    <mergeCell ref="A35:G35"/>
    <mergeCell ref="A1:I2"/>
    <mergeCell ref="A67:I67"/>
    <mergeCell ref="A72:G72"/>
    <mergeCell ref="A71:D71"/>
    <mergeCell ref="A38:I39"/>
    <mergeCell ref="H72:H74"/>
    <mergeCell ref="A30:I30"/>
  </mergeCells>
  <printOptions horizontalCentered="1" verticalCentered="1"/>
  <pageMargins left="0.25" right="0.25" top="0.75" bottom="0.75" header="0.3" footer="0.3"/>
  <pageSetup orientation="portrait" paperSize="9" verticalDpi="1200"/>
  <rowBreaks count="1" manualBreakCount="1">
    <brk id="37" min="0" max="16383" man="1"/>
  </rowBreaks>
  <colBreaks count="1" manualBreakCount="1">
    <brk id="9" min="0" max="1048575" man="1"/>
  </colBreaks>
  <drawing xmlns:r="http://schemas.openxmlformats.org/officeDocument/2006/relationships" r:id="rId1"/>
</worksheet>
</file>

<file path=xl/worksheets/sheet10.xml><?xml version="1.0" encoding="utf-8"?>
<worksheet xmlns="http://schemas.openxmlformats.org/spreadsheetml/2006/main">
  <sheetPr codeName="Sheet10">
    <outlinePr summaryBelow="1" summaryRight="1"/>
    <pageSetUpPr/>
  </sheetPr>
  <dimension ref="A1:N84"/>
  <sheetViews>
    <sheetView view="pageBreakPreview" topLeftCell="A49" zoomScale="90" zoomScaleNormal="100" workbookViewId="0">
      <selection activeCell="J48" sqref="J48"/>
    </sheetView>
  </sheetViews>
  <sheetFormatPr baseColWidth="8" defaultColWidth="8.59765625" defaultRowHeight="18"/>
  <cols>
    <col width="11.296875" customWidth="1" style="7" min="1" max="1"/>
    <col width="10.69921875" customWidth="1" style="7" min="2" max="2"/>
    <col width="7.296875" customWidth="1" style="7" min="3" max="3"/>
    <col width="10.69921875" customWidth="1" style="7" min="4" max="4"/>
    <col width="12.796875" customWidth="1" style="7" min="5" max="5"/>
    <col width="17.296875" customWidth="1" style="7" min="6" max="6"/>
    <col width="10.796875" customWidth="1" style="7" min="7" max="7"/>
    <col width="27.296875" customWidth="1" style="7" min="8" max="8"/>
    <col width="8.59765625" customWidth="1" style="7" min="9" max="10"/>
  </cols>
  <sheetData>
    <row r="1" ht="39" customHeight="1" s="7">
      <c r="A1" s="853" t="inlineStr">
        <is>
          <t>住宅・店舗改装工事請負契約書</t>
        </is>
      </c>
    </row>
    <row r="2" ht="12" customHeight="1" s="7">
      <c r="A2" s="854" t="n"/>
      <c r="B2" s="854" t="n"/>
      <c r="C2" s="854" t="n"/>
      <c r="D2" s="854" t="n"/>
      <c r="E2" s="854" t="n"/>
      <c r="F2" s="854" t="n"/>
      <c r="G2" s="855" t="n"/>
      <c r="H2" s="856" t="n"/>
    </row>
    <row r="3">
      <c r="A3" s="857" t="inlineStr">
        <is>
          <t>本契約書と別紙住宅リフォーム工事請負契約約款及び
添付の見積書、仕様書、設計図にもとづいて、工事請負契約を結ぶ。
この契約の証として本書を2通作成し、当事者が記名押印の上、それぞれ1通を保有する。</t>
        </is>
      </c>
      <c r="G3" s="858" t="n"/>
      <c r="H3" s="859" t="n"/>
    </row>
    <row r="4">
      <c r="G4" s="859" t="n"/>
      <c r="H4" s="860" t="n"/>
    </row>
    <row r="5">
      <c r="G5" s="859" t="n"/>
      <c r="H5" s="859" t="n"/>
    </row>
    <row r="6" ht="37.05" customHeight="1" s="7">
      <c r="G6" s="859" t="n"/>
    </row>
    <row r="7" ht="28.05" customHeight="1" s="7">
      <c r="A7" s="861" t="inlineStr">
        <is>
          <t>1.工事名称</t>
        </is>
      </c>
      <c r="B7" s="862">
        <f>物件概要!C4</f>
        <v/>
      </c>
    </row>
    <row r="8" ht="28.05" customHeight="1" s="7">
      <c r="A8" s="861" t="inlineStr">
        <is>
          <t>2.工事場所</t>
        </is>
      </c>
      <c r="B8" s="863">
        <f>物件概要!C3</f>
        <v/>
      </c>
      <c r="C8" s="863" t="n"/>
      <c r="D8" s="863" t="n"/>
      <c r="E8" s="864" t="n"/>
      <c r="F8" s="864" t="n"/>
      <c r="G8" s="865" t="n"/>
    </row>
    <row r="9" ht="28.05" customHeight="1" s="7">
      <c r="A9" s="861" t="inlineStr">
        <is>
          <t>3.工事期間</t>
        </is>
      </c>
      <c r="B9" s="866">
        <f>物件概要!C2</f>
        <v/>
      </c>
      <c r="C9" s="866" t="inlineStr">
        <is>
          <t>ヵ月</t>
        </is>
      </c>
      <c r="D9" s="866" t="n"/>
      <c r="E9" s="864" t="n"/>
      <c r="F9" s="864" t="n"/>
      <c r="G9" s="865" t="n"/>
    </row>
    <row r="10" ht="28.05" customFormat="1" customHeight="1" s="860">
      <c r="A10" s="861" t="inlineStr">
        <is>
          <t>4.請負金額</t>
        </is>
      </c>
      <c r="B10" s="862">
        <f>見積書!L32</f>
        <v/>
      </c>
      <c r="D10" s="862" t="n"/>
      <c r="E10" s="864" t="n"/>
      <c r="F10" s="864" t="n"/>
      <c r="G10" s="865" t="n"/>
    </row>
    <row r="11" customFormat="1" s="860">
      <c r="A11" s="867" t="n"/>
      <c r="B11" s="868" t="inlineStr">
        <is>
          <t>うち工事価格（消費税等額を除く）</t>
        </is>
      </c>
      <c r="C11" s="869" t="n"/>
      <c r="D11" s="870" t="inlineStr">
        <is>
          <t>￥</t>
        </is>
      </c>
      <c r="E11" s="871">
        <f>見積書!L30</f>
        <v/>
      </c>
      <c r="G11" s="871" t="n"/>
      <c r="H11" s="872" t="n"/>
    </row>
    <row r="12" customFormat="1" s="860">
      <c r="A12" s="854" t="n"/>
      <c r="B12" s="869" t="inlineStr">
        <is>
          <t>取引に係る消費税等額</t>
        </is>
      </c>
      <c r="D12" s="870" t="inlineStr">
        <is>
          <t>￥</t>
        </is>
      </c>
      <c r="E12" s="871">
        <f>見積書!L31</f>
        <v/>
      </c>
      <c r="G12" s="865" t="n"/>
      <c r="H12" s="864" t="n"/>
    </row>
    <row r="13" ht="19.8" customHeight="1" s="7">
      <c r="A13" s="873" t="inlineStr">
        <is>
          <t>5.支払方法</t>
        </is>
      </c>
      <c r="B13" s="860" t="n"/>
      <c r="C13" s="860" t="n"/>
      <c r="D13" s="860" t="n"/>
      <c r="E13" s="860" t="n"/>
      <c r="F13" s="860" t="n"/>
      <c r="G13" s="860" t="n"/>
      <c r="H13" s="860" t="n"/>
    </row>
    <row r="14">
      <c r="A14" s="860" t="inlineStr">
        <is>
          <t>種別</t>
        </is>
      </c>
      <c r="B14" s="860" t="inlineStr">
        <is>
          <t>日時</t>
        </is>
      </c>
      <c r="C14" s="860" t="inlineStr">
        <is>
          <t xml:space="preserve">　</t>
        </is>
      </c>
      <c r="D14" s="860" t="inlineStr">
        <is>
          <t xml:space="preserve">  </t>
        </is>
      </c>
      <c r="E14" s="860" t="inlineStr">
        <is>
          <t>小計</t>
        </is>
      </c>
      <c r="F14" s="860" t="inlineStr">
        <is>
          <t xml:space="preserve"> </t>
        </is>
      </c>
      <c r="G14" s="860" t="inlineStr">
        <is>
          <t>税</t>
        </is>
      </c>
      <c r="H14" s="860" t="inlineStr">
        <is>
          <t>合計</t>
        </is>
      </c>
    </row>
    <row r="15">
      <c r="A15" s="874" t="inlineStr">
        <is>
          <t>着工金</t>
        </is>
      </c>
      <c r="B15" s="860" t="inlineStr">
        <is>
          <t>着工時</t>
        </is>
      </c>
      <c r="C15" s="860" t="n"/>
      <c r="D15" s="860" t="n"/>
      <c r="E15" s="875" t="n"/>
      <c r="F15" s="875" t="n"/>
      <c r="G15" s="860" t="n"/>
      <c r="H15" s="860" t="n"/>
    </row>
    <row r="16">
      <c r="A16" s="876" t="inlineStr">
        <is>
          <t>中間金</t>
        </is>
      </c>
      <c r="B16" s="854" t="n"/>
      <c r="C16" s="854" t="n"/>
      <c r="D16" s="854" t="n"/>
      <c r="E16" s="877" t="n"/>
      <c r="F16" s="877" t="n"/>
      <c r="G16" s="878" t="n"/>
      <c r="H16" s="860" t="n"/>
    </row>
    <row r="17">
      <c r="A17" s="879" t="inlineStr">
        <is>
          <t>中間金</t>
        </is>
      </c>
      <c r="B17" s="854" t="n"/>
      <c r="C17" s="854" t="n"/>
      <c r="D17" s="854" t="n"/>
      <c r="E17" s="877" t="n"/>
      <c r="F17" s="877" t="n"/>
      <c r="G17" s="859" t="n"/>
      <c r="H17" s="854" t="n"/>
      <c r="N17" s="860" t="n"/>
    </row>
    <row r="18">
      <c r="A18" s="860" t="inlineStr">
        <is>
          <t>完工金</t>
        </is>
      </c>
      <c r="B18" s="860" t="inlineStr">
        <is>
          <t>完工時</t>
        </is>
      </c>
      <c r="C18" s="860" t="n"/>
      <c r="D18" s="860" t="n"/>
      <c r="E18" s="860" t="n"/>
      <c r="F18" s="860" t="n"/>
      <c r="G18" s="860" t="n"/>
      <c r="H18" s="860" t="n"/>
    </row>
    <row r="19" ht="23.1" customHeight="1" s="7">
      <c r="A19" s="867" t="n"/>
      <c r="B19" s="854" t="n"/>
      <c r="C19" s="854" t="n"/>
      <c r="D19" s="854" t="n"/>
      <c r="E19" s="854" t="n"/>
      <c r="F19" s="854" t="n"/>
      <c r="G19" s="878" t="n"/>
      <c r="H19" s="860" t="n"/>
    </row>
    <row r="20" ht="22.2" customHeight="1" s="7">
      <c r="A20" s="880" t="inlineStr">
        <is>
          <t>契約締結日：　　　　年　　　月　　　日</t>
        </is>
      </c>
      <c r="B20" s="880" t="n"/>
      <c r="C20" s="880" t="n"/>
      <c r="D20" s="880" t="n"/>
      <c r="E20" s="854" t="n"/>
      <c r="F20" s="854" t="n"/>
      <c r="G20" s="859" t="n"/>
      <c r="H20" s="854" t="n"/>
    </row>
    <row r="21">
      <c r="A21" s="860" t="n"/>
      <c r="B21" s="860" t="n"/>
      <c r="C21" s="860" t="n"/>
      <c r="D21" s="860" t="n"/>
      <c r="E21" s="860" t="n"/>
      <c r="F21" s="860" t="n"/>
      <c r="G21" s="860" t="n"/>
      <c r="H21" s="860" t="n"/>
    </row>
    <row r="22">
      <c r="A22" s="874" t="inlineStr">
        <is>
          <t>発注者</t>
        </is>
      </c>
      <c r="B22" s="874" t="n"/>
      <c r="C22" s="874" t="n"/>
      <c r="D22" s="874" t="n"/>
      <c r="E22" s="874" t="n"/>
      <c r="F22" s="874" t="n"/>
      <c r="G22" s="874" t="n"/>
      <c r="H22" s="874" t="n"/>
    </row>
    <row r="23" ht="29.1" customHeight="1" s="7">
      <c r="A23" s="881" t="n"/>
      <c r="B23" s="879" t="inlineStr">
        <is>
          <t>住所</t>
        </is>
      </c>
      <c r="C23" s="879" t="n"/>
      <c r="D23" s="879" t="n"/>
      <c r="E23" s="879" t="n"/>
      <c r="F23" s="879" t="n"/>
      <c r="G23" s="882" t="n"/>
      <c r="H23" s="874" t="n"/>
    </row>
    <row r="24" ht="17.1" customHeight="1" s="7">
      <c r="A24" s="879" t="n"/>
      <c r="B24" s="879" t="n"/>
      <c r="C24" s="879" t="n"/>
      <c r="D24" s="879" t="n"/>
      <c r="E24" s="879" t="n"/>
      <c r="F24" s="879" t="n"/>
      <c r="G24" s="883" t="n"/>
      <c r="H24" s="879" t="n"/>
    </row>
    <row r="25" ht="28.05" customHeight="1" s="7">
      <c r="A25" s="874" t="n"/>
      <c r="B25" s="874" t="inlineStr">
        <is>
          <t>氏名</t>
        </is>
      </c>
      <c r="C25" s="874" t="n"/>
      <c r="D25" s="874" t="n"/>
      <c r="E25" s="874" t="n"/>
      <c r="F25" s="874" t="n"/>
      <c r="G25" s="874" t="n"/>
      <c r="H25" s="874" t="n"/>
    </row>
    <row r="26">
      <c r="A26" s="874" t="n"/>
      <c r="B26" s="874" t="n"/>
      <c r="C26" s="874" t="n"/>
      <c r="D26" s="879" t="n"/>
      <c r="E26" s="874" t="n"/>
      <c r="F26" s="874" t="n"/>
      <c r="G26" s="874" t="n"/>
      <c r="H26" s="874" t="n"/>
    </row>
    <row r="27" ht="28.05" customHeight="1" s="7">
      <c r="A27" s="874" t="n"/>
      <c r="B27" s="874" t="inlineStr">
        <is>
          <t>電話番号</t>
        </is>
      </c>
      <c r="C27" s="874" t="n"/>
      <c r="D27" s="874" t="n"/>
      <c r="E27" s="874" t="n"/>
      <c r="F27" s="874" t="n"/>
      <c r="G27" s="874" t="n"/>
      <c r="H27" s="874" t="n"/>
    </row>
    <row r="28">
      <c r="A28" s="867" t="n"/>
      <c r="B28" s="854" t="n"/>
      <c r="C28" s="854" t="n"/>
      <c r="D28" s="854" t="n"/>
      <c r="E28" s="854" t="n"/>
      <c r="F28" s="854" t="n"/>
      <c r="G28" s="878" t="n"/>
      <c r="H28" s="860" t="n"/>
    </row>
    <row r="29" ht="18" customHeight="1" s="7">
      <c r="A29" s="860" t="n"/>
      <c r="B29" s="860" t="n"/>
      <c r="C29" s="860" t="n"/>
      <c r="D29" s="860" t="n"/>
      <c r="E29" s="860" t="n"/>
      <c r="F29" s="860" t="n"/>
      <c r="G29" s="860" t="n"/>
      <c r="H29" s="860" t="n"/>
    </row>
    <row r="30">
      <c r="A30" s="860" t="n"/>
      <c r="B30" s="860" t="n"/>
      <c r="C30" s="860" t="n"/>
      <c r="D30" s="860" t="n"/>
      <c r="E30" s="860" t="n"/>
      <c r="F30" s="860" t="n"/>
      <c r="G30" s="860" t="n"/>
      <c r="H30" s="860" t="n"/>
    </row>
    <row r="31">
      <c r="A31" s="874" t="inlineStr">
        <is>
          <t>請負者</t>
        </is>
      </c>
      <c r="B31" s="874" t="n"/>
      <c r="C31" s="874" t="n"/>
      <c r="D31" s="874" t="n"/>
      <c r="E31" s="874" t="n"/>
      <c r="F31" s="874" t="n"/>
      <c r="G31" s="874" t="n"/>
      <c r="H31" s="874" t="n"/>
    </row>
    <row r="32" ht="29.1" customHeight="1" s="7">
      <c r="A32" s="881" t="n"/>
      <c r="B32" s="879" t="inlineStr">
        <is>
          <t>住所</t>
        </is>
      </c>
      <c r="C32" s="882">
        <f>見積書!K7</f>
        <v/>
      </c>
      <c r="H32" s="874" t="n"/>
    </row>
    <row r="33" ht="17.1" customHeight="1" s="7">
      <c r="A33" s="879" t="n"/>
      <c r="B33" s="879" t="n"/>
      <c r="C33" s="879" t="n"/>
      <c r="D33" s="879" t="n"/>
      <c r="E33" s="879" t="n"/>
      <c r="F33" s="879" t="n"/>
      <c r="G33" s="883" t="n"/>
      <c r="H33" s="879" t="n"/>
    </row>
    <row r="34" ht="28.05" customHeight="1" s="7">
      <c r="A34" s="874" t="n"/>
      <c r="B34" s="874" t="inlineStr">
        <is>
          <t>名称</t>
        </is>
      </c>
      <c r="C34" s="884" t="inlineStr">
        <is>
          <t>Renovation Shop りほむる</t>
        </is>
      </c>
      <c r="H34" s="874" t="n"/>
    </row>
    <row r="35">
      <c r="A35" s="874" t="n"/>
      <c r="B35" s="874" t="n"/>
      <c r="C35" s="874" t="n"/>
      <c r="D35" s="879" t="n"/>
      <c r="E35" s="874" t="n"/>
      <c r="F35" s="874" t="n"/>
      <c r="G35" s="874" t="n"/>
      <c r="H35" s="874" t="n"/>
    </row>
    <row r="36" ht="28.05" customHeight="1" s="7">
      <c r="A36" s="874" t="n"/>
      <c r="B36" s="874" t="inlineStr">
        <is>
          <t>代表者名</t>
        </is>
      </c>
      <c r="C36" s="884" t="inlineStr">
        <is>
          <t>藤原　祐二</t>
        </is>
      </c>
      <c r="H36" s="874" t="n"/>
    </row>
    <row r="37" ht="17.1" customHeight="1" s="7">
      <c r="A37" s="879" t="n"/>
      <c r="B37" s="879" t="n"/>
      <c r="C37" s="879" t="n"/>
      <c r="D37" s="879" t="n"/>
      <c r="E37" s="879" t="n"/>
      <c r="F37" s="879" t="n"/>
      <c r="G37" s="883" t="n"/>
      <c r="H37" s="879" t="n"/>
    </row>
    <row r="38" ht="28.05" customHeight="1" s="7">
      <c r="A38" s="874" t="n"/>
      <c r="B38" s="874" t="inlineStr">
        <is>
          <t>電話番号</t>
        </is>
      </c>
      <c r="C38" s="884">
        <f>見積書!K8</f>
        <v/>
      </c>
      <c r="H38" s="874" t="n"/>
    </row>
    <row r="39">
      <c r="A39" s="874" t="n"/>
      <c r="B39" s="874" t="n"/>
      <c r="C39" s="874" t="n"/>
      <c r="D39" s="879" t="n"/>
      <c r="E39" s="874" t="n"/>
      <c r="F39" s="874" t="n"/>
      <c r="G39" s="874" t="n"/>
      <c r="H39" s="874" t="n"/>
    </row>
    <row r="40" ht="28.05" customHeight="1" s="7">
      <c r="A40" s="874" t="n"/>
      <c r="B40" s="874" t="inlineStr">
        <is>
          <t>担当者名</t>
        </is>
      </c>
      <c r="C40" s="884" t="n"/>
      <c r="H40" s="874" t="n"/>
    </row>
    <row r="41">
      <c r="A41" s="867" t="n"/>
      <c r="B41" s="854" t="n"/>
      <c r="C41" s="854" t="n"/>
      <c r="D41" s="854" t="n"/>
      <c r="E41" s="854" t="n"/>
      <c r="F41" s="854" t="n"/>
      <c r="G41" s="878" t="n"/>
      <c r="H41" s="860" t="n"/>
    </row>
    <row r="42">
      <c r="A42" s="867" t="n"/>
      <c r="B42" s="854" t="n"/>
      <c r="C42" s="854" t="n"/>
      <c r="D42" s="854" t="n"/>
      <c r="E42" s="854" t="n"/>
      <c r="F42" s="854" t="n"/>
      <c r="G42" s="878" t="n"/>
      <c r="H42" s="860" t="n"/>
    </row>
    <row r="43" ht="39" customHeight="1" s="7">
      <c r="A43" s="853" t="inlineStr">
        <is>
          <t>住宅・店舗改装工事請負契約書</t>
        </is>
      </c>
    </row>
    <row r="44" ht="12" customHeight="1" s="7">
      <c r="A44" s="854" t="n"/>
      <c r="B44" s="854" t="n"/>
      <c r="C44" s="854" t="n"/>
      <c r="D44" s="854" t="n"/>
      <c r="E44" s="854" t="n"/>
      <c r="F44" s="854" t="n"/>
      <c r="G44" s="855" t="n"/>
      <c r="H44" s="856" t="n"/>
    </row>
    <row r="45">
      <c r="A45" s="857" t="inlineStr">
        <is>
          <t>本契約書と別紙住宅リフォーム工事請負契約約款及び
添付の見積書、仕様書、設計図にもとづいて、工事請負契約を結ぶ。
この契約の証として本書を2通作成し、当事者が記名押印の上、それぞれ1通を保有する。</t>
        </is>
      </c>
      <c r="G45" s="858" t="n"/>
      <c r="H45" s="859" t="n"/>
    </row>
    <row r="46">
      <c r="G46" s="859" t="n"/>
      <c r="H46" s="860" t="n"/>
    </row>
    <row r="47">
      <c r="G47" s="859" t="n"/>
      <c r="H47" s="859" t="n"/>
    </row>
    <row r="48" ht="37.05" customHeight="1" s="7">
      <c r="G48" s="859" t="n"/>
    </row>
    <row r="49" ht="28.05" customHeight="1" s="7">
      <c r="A49" s="861" t="inlineStr">
        <is>
          <t>1.工事名称</t>
        </is>
      </c>
      <c r="B49" s="862" t="n">
        <v>0</v>
      </c>
    </row>
    <row r="50" ht="28.05" customHeight="1" s="7">
      <c r="A50" s="861" t="inlineStr">
        <is>
          <t>2.工事場所</t>
        </is>
      </c>
      <c r="B50" s="863" t="n">
        <v>0</v>
      </c>
      <c r="C50" s="863" t="n"/>
      <c r="D50" s="863" t="n"/>
      <c r="E50" s="864" t="n"/>
      <c r="F50" s="864" t="n"/>
      <c r="G50" s="865" t="n"/>
    </row>
    <row r="51" ht="28.05" customHeight="1" s="7">
      <c r="A51" s="861" t="inlineStr">
        <is>
          <t>3.工事期間</t>
        </is>
      </c>
      <c r="B51" s="866">
        <f>B9</f>
        <v/>
      </c>
      <c r="C51" s="866" t="inlineStr">
        <is>
          <t>ヵ月</t>
        </is>
      </c>
      <c r="D51" s="866" t="n"/>
      <c r="E51" s="864" t="n"/>
      <c r="F51" s="864" t="n"/>
      <c r="G51" s="865" t="n"/>
    </row>
    <row r="52" ht="28.05" customFormat="1" customHeight="1" s="860">
      <c r="A52" s="861" t="inlineStr">
        <is>
          <t>4.請負金額</t>
        </is>
      </c>
      <c r="B52" s="862">
        <f>B10</f>
        <v/>
      </c>
      <c r="D52" s="862" t="n"/>
      <c r="E52" s="864" t="n"/>
      <c r="F52" s="864" t="n"/>
      <c r="G52" s="865" t="n"/>
    </row>
    <row r="53" customFormat="1" s="860">
      <c r="A53" s="867" t="n"/>
      <c r="B53" s="868" t="inlineStr">
        <is>
          <t>うち工事価格（消費税等額を除く）</t>
        </is>
      </c>
      <c r="C53" s="868" t="n"/>
      <c r="D53" s="870" t="inlineStr">
        <is>
          <t>￥</t>
        </is>
      </c>
      <c r="E53" s="871">
        <f>E11</f>
        <v/>
      </c>
      <c r="G53" s="871" t="n"/>
      <c r="H53" s="872" t="n"/>
    </row>
    <row r="54" customFormat="1" s="860">
      <c r="A54" s="854" t="n"/>
      <c r="B54" s="869" t="inlineStr">
        <is>
          <t>取引に係る消費税等額</t>
        </is>
      </c>
      <c r="D54" s="870" t="inlineStr">
        <is>
          <t>￥</t>
        </is>
      </c>
      <c r="E54" s="871">
        <f>E12</f>
        <v/>
      </c>
      <c r="G54" s="865" t="n"/>
      <c r="H54" s="864" t="n"/>
    </row>
    <row r="55" ht="19.8" customHeight="1" s="7">
      <c r="A55" s="873" t="inlineStr">
        <is>
          <t>5.支払方法</t>
        </is>
      </c>
      <c r="B55" s="872" t="n"/>
      <c r="C55" s="872" t="n"/>
      <c r="D55" s="872" t="n"/>
      <c r="E55" s="872" t="n"/>
      <c r="F55" s="872" t="n"/>
      <c r="G55" s="872" t="n"/>
      <c r="H55" s="872" t="n"/>
    </row>
    <row r="56">
      <c r="A56" s="860" t="inlineStr">
        <is>
          <t>種別</t>
        </is>
      </c>
      <c r="B56" s="860" t="inlineStr">
        <is>
          <t>日時</t>
        </is>
      </c>
      <c r="C56" s="860" t="inlineStr">
        <is>
          <t xml:space="preserve">　</t>
        </is>
      </c>
      <c r="D56" s="860" t="inlineStr">
        <is>
          <t xml:space="preserve">  </t>
        </is>
      </c>
      <c r="E56" s="860" t="inlineStr">
        <is>
          <t>小計</t>
        </is>
      </c>
      <c r="F56" s="860" t="inlineStr">
        <is>
          <t xml:space="preserve"> </t>
        </is>
      </c>
      <c r="G56" s="860" t="inlineStr">
        <is>
          <t>税</t>
        </is>
      </c>
      <c r="H56" s="860" t="inlineStr">
        <is>
          <t>合計</t>
        </is>
      </c>
    </row>
    <row r="57">
      <c r="A57" s="874" t="inlineStr">
        <is>
          <t>着工金</t>
        </is>
      </c>
      <c r="B57" s="860" t="inlineStr">
        <is>
          <t>着工時</t>
        </is>
      </c>
      <c r="C57" s="860" t="n"/>
      <c r="D57" s="860" t="n"/>
      <c r="E57" s="875" t="n"/>
      <c r="F57" s="875" t="n"/>
      <c r="G57" s="860" t="n"/>
      <c r="H57" s="860" t="n"/>
    </row>
    <row r="58">
      <c r="A58" s="876" t="inlineStr">
        <is>
          <t>中間金</t>
        </is>
      </c>
      <c r="B58" s="854" t="n"/>
      <c r="C58" s="854" t="n"/>
      <c r="D58" s="854" t="n"/>
      <c r="E58" s="877" t="n"/>
      <c r="F58" s="877" t="n"/>
      <c r="G58" s="878" t="n"/>
      <c r="H58" s="860" t="n"/>
    </row>
    <row r="59">
      <c r="A59" s="879" t="inlineStr">
        <is>
          <t>中間金</t>
        </is>
      </c>
      <c r="B59" s="854" t="n"/>
      <c r="C59" s="854" t="n"/>
      <c r="D59" s="854" t="n"/>
      <c r="E59" s="877" t="n"/>
      <c r="F59" s="877" t="n"/>
      <c r="G59" s="859" t="n"/>
      <c r="H59" s="854" t="n"/>
      <c r="N59" s="860" t="n"/>
    </row>
    <row r="60">
      <c r="A60" s="860" t="inlineStr">
        <is>
          <t>完工金</t>
        </is>
      </c>
      <c r="B60" s="860" t="inlineStr">
        <is>
          <t>完工時</t>
        </is>
      </c>
      <c r="C60" s="860" t="n"/>
      <c r="D60" s="860" t="n"/>
      <c r="E60" s="860" t="n"/>
      <c r="F60" s="860" t="n"/>
      <c r="G60" s="860" t="n"/>
      <c r="H60" s="860" t="n"/>
    </row>
    <row r="61" ht="23.1" customHeight="1" s="7">
      <c r="A61" s="867" t="n"/>
      <c r="B61" s="854" t="n"/>
      <c r="C61" s="854" t="n"/>
      <c r="D61" s="854" t="n"/>
      <c r="E61" s="854" t="n"/>
      <c r="F61" s="854" t="n"/>
      <c r="G61" s="878" t="n"/>
      <c r="H61" s="860" t="n"/>
    </row>
    <row r="62" ht="22.2" customHeight="1" s="7">
      <c r="A62" s="880" t="inlineStr">
        <is>
          <t>契約締結日：　　　　年　　　月　　　日</t>
        </is>
      </c>
      <c r="B62" s="880" t="n"/>
      <c r="C62" s="880" t="n"/>
      <c r="D62" s="880" t="n"/>
      <c r="E62" s="854" t="n"/>
      <c r="F62" s="854" t="n"/>
      <c r="G62" s="859" t="n"/>
      <c r="H62" s="854" t="n"/>
    </row>
    <row r="63">
      <c r="A63" s="860" t="n"/>
      <c r="B63" s="860" t="n"/>
      <c r="C63" s="860" t="n"/>
      <c r="D63" s="860" t="n"/>
      <c r="E63" s="860" t="n"/>
      <c r="F63" s="860" t="n"/>
      <c r="G63" s="860" t="n"/>
      <c r="H63" s="860" t="n"/>
    </row>
    <row r="64">
      <c r="A64" s="874" t="inlineStr">
        <is>
          <t>発注者</t>
        </is>
      </c>
      <c r="B64" s="874" t="n"/>
      <c r="C64" s="874" t="n"/>
      <c r="D64" s="874" t="n"/>
      <c r="E64" s="874" t="n"/>
      <c r="F64" s="874" t="n"/>
      <c r="G64" s="874" t="n"/>
      <c r="H64" s="874" t="n"/>
    </row>
    <row r="65" ht="29.1" customHeight="1" s="7">
      <c r="A65" s="881" t="n"/>
      <c r="B65" s="879" t="inlineStr">
        <is>
          <t>住所</t>
        </is>
      </c>
      <c r="C65" s="879" t="n"/>
      <c r="D65" s="879" t="n"/>
      <c r="E65" s="879" t="n"/>
      <c r="F65" s="879" t="n"/>
      <c r="G65" s="882" t="n"/>
      <c r="H65" s="874" t="n"/>
    </row>
    <row r="66" ht="17.1" customHeight="1" s="7">
      <c r="A66" s="879" t="n"/>
      <c r="B66" s="879" t="n"/>
      <c r="C66" s="879" t="n"/>
      <c r="D66" s="879" t="n"/>
      <c r="E66" s="879" t="n"/>
      <c r="F66" s="879" t="n"/>
      <c r="G66" s="883" t="n"/>
      <c r="H66" s="879" t="n"/>
    </row>
    <row r="67" ht="28.05" customHeight="1" s="7">
      <c r="A67" s="874" t="n"/>
      <c r="B67" s="874" t="inlineStr">
        <is>
          <t>氏名</t>
        </is>
      </c>
      <c r="C67" s="874" t="n"/>
      <c r="D67" s="874" t="n"/>
      <c r="E67" s="874" t="n"/>
      <c r="F67" s="874" t="n"/>
      <c r="G67" s="874" t="n"/>
      <c r="H67" s="874" t="n"/>
    </row>
    <row r="68">
      <c r="A68" s="874" t="n"/>
      <c r="B68" s="874" t="n"/>
      <c r="C68" s="874" t="n"/>
      <c r="D68" s="879" t="n"/>
      <c r="E68" s="874" t="n"/>
      <c r="F68" s="874" t="n"/>
      <c r="G68" s="874" t="n"/>
      <c r="H68" s="874" t="n"/>
    </row>
    <row r="69" ht="28.05" customHeight="1" s="7">
      <c r="A69" s="874" t="n"/>
      <c r="B69" s="874" t="inlineStr">
        <is>
          <t>電話番号</t>
        </is>
      </c>
      <c r="C69" s="874" t="n"/>
      <c r="D69" s="874" t="n"/>
      <c r="E69" s="874" t="n"/>
      <c r="F69" s="874" t="n"/>
      <c r="G69" s="874" t="n"/>
      <c r="H69" s="874" t="n"/>
    </row>
    <row r="70">
      <c r="A70" s="867" t="n"/>
      <c r="B70" s="854" t="n"/>
      <c r="C70" s="854" t="n"/>
      <c r="D70" s="854" t="n"/>
      <c r="E70" s="854" t="n"/>
      <c r="F70" s="854" t="n"/>
      <c r="G70" s="878" t="n"/>
      <c r="H70" s="860" t="n"/>
    </row>
    <row r="71" ht="18" customHeight="1" s="7">
      <c r="A71" s="860" t="n"/>
      <c r="B71" s="860" t="n"/>
      <c r="C71" s="860" t="n"/>
      <c r="D71" s="860" t="n"/>
      <c r="E71" s="860" t="n"/>
      <c r="F71" s="860" t="n"/>
      <c r="G71" s="860" t="n"/>
      <c r="H71" s="860" t="n"/>
    </row>
    <row r="72">
      <c r="A72" s="860" t="n"/>
      <c r="B72" s="860" t="n"/>
      <c r="C72" s="860" t="n"/>
      <c r="D72" s="860" t="n"/>
      <c r="E72" s="860" t="n"/>
      <c r="F72" s="860" t="n"/>
      <c r="G72" s="860" t="n"/>
      <c r="H72" s="860" t="n"/>
    </row>
    <row r="73">
      <c r="A73" s="874" t="inlineStr">
        <is>
          <t>請負者</t>
        </is>
      </c>
      <c r="B73" s="874" t="n"/>
      <c r="C73" s="874" t="n"/>
      <c r="D73" s="874" t="n"/>
      <c r="E73" s="874" t="n"/>
      <c r="F73" s="874" t="n"/>
      <c r="G73" s="874" t="n"/>
      <c r="H73" s="874" t="n"/>
    </row>
    <row r="74" ht="29.1" customHeight="1" s="7">
      <c r="A74" s="881" t="n"/>
      <c r="B74" s="879" t="inlineStr">
        <is>
          <t>住所</t>
        </is>
      </c>
      <c r="C74" s="882">
        <f>C32</f>
        <v/>
      </c>
      <c r="H74" s="874" t="n"/>
    </row>
    <row r="75" ht="17.1" customHeight="1" s="7">
      <c r="A75" s="879" t="n"/>
      <c r="B75" s="879" t="n"/>
      <c r="C75" s="879" t="n"/>
      <c r="D75" s="879" t="n"/>
      <c r="E75" s="879" t="n"/>
      <c r="F75" s="879" t="n"/>
      <c r="G75" s="883" t="n"/>
      <c r="H75" s="879" t="n"/>
    </row>
    <row r="76" ht="28.05" customHeight="1" s="7">
      <c r="A76" s="874" t="n"/>
      <c r="B76" s="874" t="inlineStr">
        <is>
          <t>名称</t>
        </is>
      </c>
      <c r="C76" s="884" t="inlineStr">
        <is>
          <t>Renovation Shop りほむる</t>
        </is>
      </c>
      <c r="H76" s="874" t="n"/>
    </row>
    <row r="77">
      <c r="A77" s="874" t="n"/>
      <c r="B77" s="874" t="n"/>
      <c r="C77" s="874" t="n"/>
      <c r="D77" s="879" t="n"/>
      <c r="E77" s="874" t="n"/>
      <c r="F77" s="874" t="n"/>
      <c r="G77" s="874" t="n"/>
      <c r="H77" s="874" t="n"/>
    </row>
    <row r="78" ht="28.05" customHeight="1" s="7">
      <c r="A78" s="874" t="n"/>
      <c r="B78" s="874" t="inlineStr">
        <is>
          <t>代表者名</t>
        </is>
      </c>
      <c r="C78" s="884">
        <f>請負契約書!C36</f>
        <v/>
      </c>
      <c r="H78" s="874" t="n"/>
    </row>
    <row r="79" ht="17.1" customHeight="1" s="7">
      <c r="A79" s="879" t="n"/>
      <c r="B79" s="879" t="n"/>
      <c r="C79" s="879" t="n"/>
      <c r="D79" s="879" t="n"/>
      <c r="E79" s="879" t="n"/>
      <c r="F79" s="879" t="n"/>
      <c r="G79" s="883" t="n"/>
      <c r="H79" s="879" t="n"/>
    </row>
    <row r="80" ht="28.05" customHeight="1" s="7">
      <c r="A80" s="874" t="n"/>
      <c r="B80" s="874" t="inlineStr">
        <is>
          <t>電話番号</t>
        </is>
      </c>
      <c r="C80" s="884">
        <f>C38</f>
        <v/>
      </c>
      <c r="H80" s="874" t="n"/>
    </row>
    <row r="81">
      <c r="A81" s="874" t="n"/>
      <c r="B81" s="874" t="n"/>
      <c r="C81" s="874" t="n"/>
      <c r="D81" s="879" t="n"/>
      <c r="E81" s="874" t="n"/>
      <c r="F81" s="874" t="n"/>
      <c r="G81" s="874" t="n"/>
      <c r="H81" s="874" t="n"/>
    </row>
    <row r="82" ht="28.05" customHeight="1" s="7">
      <c r="A82" s="874" t="n"/>
      <c r="B82" s="874" t="inlineStr">
        <is>
          <t>担当者名</t>
        </is>
      </c>
      <c r="C82" s="884" t="n"/>
      <c r="H82" s="874" t="n"/>
    </row>
    <row r="83">
      <c r="A83" s="867" t="n"/>
      <c r="B83" s="854" t="n"/>
      <c r="C83" s="854" t="n"/>
      <c r="D83" s="854" t="n"/>
      <c r="E83" s="854" t="n"/>
      <c r="F83" s="854" t="n"/>
      <c r="G83" s="878" t="n"/>
      <c r="H83" s="860" t="n"/>
    </row>
    <row r="84">
      <c r="A84" s="867" t="n"/>
      <c r="B84" s="854" t="n"/>
      <c r="C84" s="854" t="n"/>
      <c r="D84" s="854" t="n"/>
      <c r="E84" s="854" t="n"/>
      <c r="F84" s="854" t="n"/>
      <c r="G84" s="878" t="n"/>
      <c r="H84" s="860" t="n"/>
    </row>
  </sheetData>
  <mergeCells count="32">
    <mergeCell ref="E12:F12"/>
    <mergeCell ref="B54:C54"/>
    <mergeCell ref="C34:G34"/>
    <mergeCell ref="G52:H52"/>
    <mergeCell ref="B49:H49"/>
    <mergeCell ref="A1:H1"/>
    <mergeCell ref="G8:H8"/>
    <mergeCell ref="C74:G74"/>
    <mergeCell ref="G48:H48"/>
    <mergeCell ref="B12:C12"/>
    <mergeCell ref="B52:C52"/>
    <mergeCell ref="G10:H10"/>
    <mergeCell ref="G6:H6"/>
    <mergeCell ref="B7:H7"/>
    <mergeCell ref="C40:G40"/>
    <mergeCell ref="C80:G80"/>
    <mergeCell ref="A45:F48"/>
    <mergeCell ref="B10:C10"/>
    <mergeCell ref="E11:F11"/>
    <mergeCell ref="C76:G76"/>
    <mergeCell ref="C36:G36"/>
    <mergeCell ref="A3:F6"/>
    <mergeCell ref="G51:H51"/>
    <mergeCell ref="C82:G82"/>
    <mergeCell ref="E54:F54"/>
    <mergeCell ref="C32:G32"/>
    <mergeCell ref="C38:G38"/>
    <mergeCell ref="A43:H43"/>
    <mergeCell ref="G50:H50"/>
    <mergeCell ref="E53:F53"/>
    <mergeCell ref="G9:H9"/>
    <mergeCell ref="C78:G78"/>
  </mergeCells>
  <printOptions horizontalCentered="1"/>
  <pageMargins left="0.7480314960629921" right="0.7480314960629921" top="0.5905511811023623" bottom="0.5905511811023623" header="0.5118110236220472" footer="0.5118110236220472"/>
  <pageSetup orientation="portrait" paperSize="9" scale="72"/>
  <rowBreaks count="1" manualBreakCount="1">
    <brk id="42" min="0" max="16383" man="1"/>
  </rowBreaks>
  <drawing xmlns:r="http://schemas.openxmlformats.org/officeDocument/2006/relationships" r:id="rId1"/>
  <tableParts count="2">
    <tablePart xmlns:r="http://schemas.openxmlformats.org/officeDocument/2006/relationships" r:id="rId2"/>
    <tablePart xmlns:r="http://schemas.openxmlformats.org/officeDocument/2006/relationships" r:id="rId3"/>
  </tableParts>
</worksheet>
</file>

<file path=xl/worksheets/sheet11.xml><?xml version="1.0" encoding="utf-8"?>
<worksheet xmlns="http://schemas.openxmlformats.org/spreadsheetml/2006/main">
  <sheetPr codeName="Sheet11">
    <outlinePr summaryBelow="1" summaryRight="1"/>
    <pageSetUpPr/>
  </sheetPr>
  <dimension ref="A1:I80"/>
  <sheetViews>
    <sheetView showGridLines="0" view="pageBreakPreview" zoomScaleNormal="100" workbookViewId="0">
      <selection activeCell="C55" sqref="C55:I65"/>
    </sheetView>
  </sheetViews>
  <sheetFormatPr baseColWidth="8" defaultColWidth="8.69921875" defaultRowHeight="16.5" customHeight="1"/>
  <cols>
    <col width="8.69921875" customWidth="1" style="622" min="1" max="8"/>
    <col width="8.796875" customWidth="1" style="622" min="9" max="9"/>
    <col width="8.69921875" customWidth="1" style="622" min="10" max="16384"/>
  </cols>
  <sheetData>
    <row r="1" ht="16.5" customHeight="1" s="7">
      <c r="G1" s="607" t="inlineStr">
        <is>
          <t>作成日</t>
        </is>
      </c>
      <c r="H1" s="605">
        <f>TODAY()</f>
        <v/>
      </c>
      <c r="I1" s="771" t="n"/>
    </row>
    <row r="2" ht="16.5" customHeight="1" s="7">
      <c r="A2" s="607">
        <f>物件概要!C1</f>
        <v/>
      </c>
      <c r="B2" s="771" t="n"/>
      <c r="C2" s="771" t="n"/>
      <c r="D2" s="607" t="inlineStr">
        <is>
          <t>様</t>
        </is>
      </c>
    </row>
    <row r="5" ht="16.5" customHeight="1" s="7">
      <c r="F5" s="578" t="n"/>
      <c r="G5" s="578" t="inlineStr">
        <is>
          <t>Renovation Shop りほむる</t>
        </is>
      </c>
      <c r="H5" s="578" t="n"/>
      <c r="I5" s="578" t="n"/>
    </row>
    <row r="6" ht="16.5" customHeight="1" s="7">
      <c r="F6" s="578" t="n"/>
      <c r="G6" s="347">
        <f>見積書!K5</f>
        <v/>
      </c>
      <c r="H6" s="578" t="n"/>
      <c r="I6" s="578" t="n"/>
    </row>
    <row r="7" ht="16.5" customHeight="1" s="7">
      <c r="F7" s="578" t="n"/>
      <c r="G7" s="348">
        <f>見積書!K7</f>
        <v/>
      </c>
      <c r="H7" s="578" t="n"/>
      <c r="I7" s="578" t="n"/>
    </row>
    <row r="8" ht="16.5" customHeight="1" s="7">
      <c r="F8" s="578" t="n"/>
      <c r="G8" s="578">
        <f>見積書!K8</f>
        <v/>
      </c>
      <c r="H8" s="578" t="n"/>
      <c r="I8" s="578" t="n"/>
    </row>
    <row r="9" ht="16.5" customHeight="1" s="7">
      <c r="F9" s="578" t="n"/>
      <c r="G9" s="578">
        <f>見積書!K9</f>
        <v/>
      </c>
      <c r="H9" s="578" t="n"/>
      <c r="I9" s="578" t="n"/>
    </row>
    <row r="11" ht="30.75" customHeight="1" s="7">
      <c r="A11" s="608" t="inlineStr">
        <is>
          <t>作業完了報告書</t>
        </is>
      </c>
    </row>
    <row r="13" ht="22.5" customHeight="1" s="7">
      <c r="A13" s="271" t="inlineStr">
        <is>
          <t>件      名</t>
        </is>
      </c>
      <c r="B13" s="885" t="n"/>
      <c r="C13" s="271">
        <f>物件概要!C4</f>
        <v/>
      </c>
      <c r="D13" s="886" t="n"/>
      <c r="E13" s="886" t="n"/>
      <c r="F13" s="886" t="n"/>
      <c r="G13" s="886" t="n"/>
      <c r="H13" s="886" t="n"/>
      <c r="I13" s="885" t="n"/>
    </row>
    <row r="14" ht="22.5" customHeight="1" s="7">
      <c r="A14" s="271" t="inlineStr">
        <is>
          <t>住所</t>
        </is>
      </c>
      <c r="B14" s="885" t="n"/>
      <c r="C14" s="271">
        <f>物件概要!C3</f>
        <v/>
      </c>
      <c r="D14" s="886" t="n"/>
      <c r="E14" s="886" t="n"/>
      <c r="F14" s="886" t="n"/>
      <c r="G14" s="886" t="n"/>
      <c r="H14" s="886" t="n"/>
      <c r="I14" s="885" t="n"/>
    </row>
    <row r="15" ht="16.5" customHeight="1" s="7">
      <c r="A15" s="271" t="inlineStr">
        <is>
          <t>作業内容</t>
        </is>
      </c>
      <c r="B15" s="887" t="n"/>
      <c r="C15" s="888" t="inlineStr">
        <is>
          <t>※内訳明細書参照</t>
        </is>
      </c>
      <c r="D15" s="889" t="n"/>
      <c r="E15" s="889" t="n"/>
      <c r="F15" s="889" t="n"/>
      <c r="G15" s="889" t="n"/>
      <c r="H15" s="889" t="n"/>
      <c r="I15" s="887" t="n"/>
    </row>
    <row r="16" ht="16.5" customHeight="1" s="7">
      <c r="A16" s="890" t="n"/>
      <c r="B16" s="891" t="n"/>
      <c r="C16" s="890" t="n"/>
      <c r="I16" s="891" t="n"/>
    </row>
    <row r="17" ht="16.5" customHeight="1" s="7">
      <c r="A17" s="890" t="n"/>
      <c r="B17" s="891" t="n"/>
      <c r="C17" s="890" t="n"/>
      <c r="I17" s="891" t="n"/>
    </row>
    <row r="18" ht="16.5" customHeight="1" s="7">
      <c r="A18" s="890" t="n"/>
      <c r="B18" s="891" t="n"/>
      <c r="C18" s="890" t="n"/>
      <c r="I18" s="891" t="n"/>
    </row>
    <row r="19" ht="16.5" customHeight="1" s="7">
      <c r="A19" s="890" t="n"/>
      <c r="B19" s="891" t="n"/>
      <c r="C19" s="890" t="n"/>
      <c r="I19" s="891" t="n"/>
    </row>
    <row r="20" ht="16.5" customHeight="1" s="7">
      <c r="A20" s="890" t="n"/>
      <c r="B20" s="891" t="n"/>
      <c r="C20" s="890" t="n"/>
      <c r="I20" s="891" t="n"/>
    </row>
    <row r="21" ht="16.5" customHeight="1" s="7">
      <c r="A21" s="890" t="n"/>
      <c r="B21" s="891" t="n"/>
      <c r="C21" s="890" t="n"/>
      <c r="I21" s="891" t="n"/>
    </row>
    <row r="22" ht="16.5" customHeight="1" s="7">
      <c r="A22" s="890" t="n"/>
      <c r="B22" s="891" t="n"/>
      <c r="C22" s="890" t="n"/>
      <c r="I22" s="891" t="n"/>
    </row>
    <row r="23" ht="16.5" customHeight="1" s="7">
      <c r="A23" s="890" t="n"/>
      <c r="B23" s="891" t="n"/>
      <c r="C23" s="890" t="n"/>
      <c r="I23" s="891" t="n"/>
    </row>
    <row r="24" ht="16.5" customHeight="1" s="7">
      <c r="A24" s="890" t="n"/>
      <c r="B24" s="891" t="n"/>
      <c r="C24" s="890" t="n"/>
      <c r="I24" s="891" t="n"/>
    </row>
    <row r="25" ht="16.5" customHeight="1" s="7">
      <c r="A25" s="892" t="n"/>
      <c r="B25" s="893" t="n"/>
      <c r="C25" s="892" t="n"/>
      <c r="D25" s="771" t="n"/>
      <c r="E25" s="771" t="n"/>
      <c r="F25" s="771" t="n"/>
      <c r="G25" s="771" t="n"/>
      <c r="H25" s="771" t="n"/>
      <c r="I25" s="893" t="n"/>
    </row>
    <row r="26" ht="16.5" customHeight="1" s="7">
      <c r="A26" s="271" t="inlineStr">
        <is>
          <t>特記事項</t>
        </is>
      </c>
      <c r="B26" s="887" t="n"/>
      <c r="C26" s="888" t="n"/>
      <c r="D26" s="889" t="n"/>
      <c r="E26" s="889" t="n"/>
      <c r="F26" s="889" t="n"/>
      <c r="G26" s="889" t="n"/>
      <c r="H26" s="889" t="n"/>
      <c r="I26" s="887" t="n"/>
    </row>
    <row r="27" ht="16.5" customHeight="1" s="7">
      <c r="A27" s="890" t="n"/>
      <c r="B27" s="891" t="n"/>
      <c r="C27" s="890" t="n"/>
      <c r="I27" s="891" t="n"/>
    </row>
    <row r="28" ht="16.5" customHeight="1" s="7">
      <c r="A28" s="890" t="n"/>
      <c r="B28" s="891" t="n"/>
      <c r="C28" s="890" t="n"/>
      <c r="I28" s="891" t="n"/>
    </row>
    <row r="29" ht="16.5" customHeight="1" s="7">
      <c r="A29" s="890" t="n"/>
      <c r="B29" s="891" t="n"/>
      <c r="C29" s="890" t="n"/>
      <c r="I29" s="891" t="n"/>
    </row>
    <row r="30" ht="16.5" customHeight="1" s="7">
      <c r="A30" s="890" t="n"/>
      <c r="B30" s="891" t="n"/>
      <c r="C30" s="890" t="n"/>
      <c r="I30" s="891" t="n"/>
    </row>
    <row r="31" ht="16.5" customHeight="1" s="7">
      <c r="A31" s="890" t="n"/>
      <c r="B31" s="891" t="n"/>
      <c r="C31" s="890" t="n"/>
      <c r="I31" s="891" t="n"/>
    </row>
    <row r="32" ht="16.5" customHeight="1" s="7">
      <c r="A32" s="892" t="n"/>
      <c r="B32" s="893" t="n"/>
      <c r="C32" s="892" t="n"/>
      <c r="D32" s="771" t="n"/>
      <c r="E32" s="771" t="n"/>
      <c r="F32" s="771" t="n"/>
      <c r="G32" s="771" t="n"/>
      <c r="H32" s="771" t="n"/>
      <c r="I32" s="893" t="n"/>
    </row>
    <row r="33" ht="12" customHeight="1" s="7"/>
    <row r="34" ht="16.5" customHeight="1" s="7">
      <c r="A34" s="578" t="inlineStr">
        <is>
          <t>□完工検査を実施しました</t>
        </is>
      </c>
    </row>
    <row r="35" ht="16.5" customHeight="1" s="7">
      <c r="A35" s="578" t="inlineStr">
        <is>
          <t>□上記の工事完了を確認しました</t>
        </is>
      </c>
    </row>
    <row r="36" ht="16.5" customHeight="1" s="7">
      <c r="A36" s="578" t="inlineStr">
        <is>
          <t>２０２６年　　月　　日</t>
        </is>
      </c>
    </row>
    <row r="37" ht="16.5" customHeight="1" s="7">
      <c r="A37" s="578" t="inlineStr">
        <is>
          <t>お客様氏名：</t>
        </is>
      </c>
      <c r="H37" s="271" t="inlineStr">
        <is>
          <t>お客様印</t>
        </is>
      </c>
      <c r="I37" s="271" t="inlineStr">
        <is>
          <t>担当者印</t>
        </is>
      </c>
    </row>
    <row r="38" ht="16.5" customHeight="1" s="7">
      <c r="H38" s="271" t="n"/>
      <c r="I38" s="271" t="n"/>
    </row>
    <row r="39" ht="16.5" customHeight="1" s="7">
      <c r="H39" s="851" t="n"/>
      <c r="I39" s="851" t="n"/>
    </row>
    <row r="40" ht="16.5" customHeight="1" s="7">
      <c r="H40" s="852" t="n"/>
      <c r="I40" s="852" t="n"/>
    </row>
    <row r="41" ht="16.5" customHeight="1" s="7">
      <c r="G41" s="607" t="inlineStr">
        <is>
          <t>作成日</t>
        </is>
      </c>
      <c r="H41" s="605">
        <f>TODAY()</f>
        <v/>
      </c>
      <c r="I41" s="771" t="n"/>
    </row>
    <row r="42" ht="16.5" customHeight="1" s="7">
      <c r="A42" s="607">
        <f>物件概要!C1</f>
        <v/>
      </c>
      <c r="B42" s="771" t="n"/>
      <c r="C42" s="771" t="n"/>
      <c r="D42" s="607" t="inlineStr">
        <is>
          <t>様</t>
        </is>
      </c>
    </row>
    <row r="45" ht="16.5" customHeight="1" s="7">
      <c r="F45" s="578" t="n"/>
      <c r="G45" s="578" t="inlineStr">
        <is>
          <t>Renovation Shop りほむる</t>
        </is>
      </c>
      <c r="H45" s="578" t="n"/>
      <c r="I45" s="578" t="n"/>
    </row>
    <row r="46" ht="16.5" customHeight="1" s="7">
      <c r="F46" s="578" t="n"/>
      <c r="G46" s="347">
        <f>見積書!K5</f>
        <v/>
      </c>
      <c r="H46" s="578" t="n"/>
      <c r="I46" s="578" t="n"/>
    </row>
    <row r="47" ht="16.5" customHeight="1" s="7">
      <c r="F47" s="578" t="n"/>
      <c r="G47" s="348">
        <f>見積書!K7</f>
        <v/>
      </c>
      <c r="H47" s="578" t="n"/>
      <c r="I47" s="578" t="n"/>
    </row>
    <row r="48" ht="16.5" customHeight="1" s="7">
      <c r="F48" s="578" t="n"/>
      <c r="G48" s="578">
        <f>見積書!K8</f>
        <v/>
      </c>
      <c r="H48" s="578" t="n"/>
      <c r="I48" s="578" t="n"/>
    </row>
    <row r="49" ht="16.5" customHeight="1" s="7">
      <c r="F49" s="578" t="n"/>
      <c r="G49" s="578">
        <f>見積書!K9</f>
        <v/>
      </c>
      <c r="H49" s="578" t="n"/>
      <c r="I49" s="578" t="n"/>
    </row>
    <row r="51" ht="30.75" customHeight="1" s="7">
      <c r="A51" s="608" t="inlineStr">
        <is>
          <t>作業完了報告書</t>
        </is>
      </c>
    </row>
    <row r="53" ht="22.5" customHeight="1" s="7">
      <c r="A53" s="271" t="inlineStr">
        <is>
          <t>件      名</t>
        </is>
      </c>
      <c r="B53" s="885" t="n"/>
      <c r="C53" s="271">
        <f>物件概要!C4</f>
        <v/>
      </c>
      <c r="D53" s="886" t="n"/>
      <c r="E53" s="886" t="n"/>
      <c r="F53" s="886" t="n"/>
      <c r="G53" s="886" t="n"/>
      <c r="H53" s="886" t="n"/>
      <c r="I53" s="885" t="n"/>
    </row>
    <row r="54" ht="22.5" customHeight="1" s="7">
      <c r="A54" s="271" t="inlineStr">
        <is>
          <t>住所</t>
        </is>
      </c>
      <c r="B54" s="885" t="n"/>
      <c r="C54" s="271">
        <f>物件概要!C3</f>
        <v/>
      </c>
      <c r="D54" s="886" t="n"/>
      <c r="E54" s="886" t="n"/>
      <c r="F54" s="886" t="n"/>
      <c r="G54" s="886" t="n"/>
      <c r="H54" s="886" t="n"/>
      <c r="I54" s="885" t="n"/>
    </row>
    <row r="55" ht="16.5" customHeight="1" s="7">
      <c r="A55" s="271" t="inlineStr">
        <is>
          <t>作業内容</t>
        </is>
      </c>
      <c r="B55" s="887" t="n"/>
      <c r="C55" s="888" t="inlineStr">
        <is>
          <t>※内訳明細書参照</t>
        </is>
      </c>
      <c r="D55" s="889" t="n"/>
      <c r="E55" s="889" t="n"/>
      <c r="F55" s="889" t="n"/>
      <c r="G55" s="889" t="n"/>
      <c r="H55" s="889" t="n"/>
      <c r="I55" s="887" t="n"/>
    </row>
    <row r="56" ht="16.5" customHeight="1" s="7">
      <c r="A56" s="890" t="n"/>
      <c r="B56" s="891" t="n"/>
      <c r="C56" s="890" t="n"/>
      <c r="I56" s="891" t="n"/>
    </row>
    <row r="57" ht="16.5" customHeight="1" s="7">
      <c r="A57" s="890" t="n"/>
      <c r="B57" s="891" t="n"/>
      <c r="C57" s="890" t="n"/>
      <c r="I57" s="891" t="n"/>
    </row>
    <row r="58" ht="16.5" customHeight="1" s="7">
      <c r="A58" s="890" t="n"/>
      <c r="B58" s="891" t="n"/>
      <c r="C58" s="890" t="n"/>
      <c r="I58" s="891" t="n"/>
    </row>
    <row r="59" ht="16.5" customHeight="1" s="7">
      <c r="A59" s="890" t="n"/>
      <c r="B59" s="891" t="n"/>
      <c r="C59" s="890" t="n"/>
      <c r="I59" s="891" t="n"/>
    </row>
    <row r="60" ht="16.5" customHeight="1" s="7">
      <c r="A60" s="890" t="n"/>
      <c r="B60" s="891" t="n"/>
      <c r="C60" s="890" t="n"/>
      <c r="I60" s="891" t="n"/>
    </row>
    <row r="61" ht="16.5" customHeight="1" s="7">
      <c r="A61" s="890" t="n"/>
      <c r="B61" s="891" t="n"/>
      <c r="C61" s="890" t="n"/>
      <c r="I61" s="891" t="n"/>
    </row>
    <row r="62" ht="16.5" customHeight="1" s="7">
      <c r="A62" s="890" t="n"/>
      <c r="B62" s="891" t="n"/>
      <c r="C62" s="890" t="n"/>
      <c r="I62" s="891" t="n"/>
    </row>
    <row r="63" ht="16.5" customHeight="1" s="7">
      <c r="A63" s="890" t="n"/>
      <c r="B63" s="891" t="n"/>
      <c r="C63" s="890" t="n"/>
      <c r="I63" s="891" t="n"/>
    </row>
    <row r="64" ht="16.5" customHeight="1" s="7">
      <c r="A64" s="890" t="n"/>
      <c r="B64" s="891" t="n"/>
      <c r="C64" s="890" t="n"/>
      <c r="I64" s="891" t="n"/>
    </row>
    <row r="65" ht="16.5" customHeight="1" s="7">
      <c r="A65" s="892" t="n"/>
      <c r="B65" s="893" t="n"/>
      <c r="C65" s="892" t="n"/>
      <c r="D65" s="771" t="n"/>
      <c r="E65" s="771" t="n"/>
      <c r="F65" s="771" t="n"/>
      <c r="G65" s="771" t="n"/>
      <c r="H65" s="771" t="n"/>
      <c r="I65" s="893" t="n"/>
    </row>
    <row r="66" ht="16.5" customHeight="1" s="7">
      <c r="A66" s="271" t="inlineStr">
        <is>
          <t>特記事項</t>
        </is>
      </c>
      <c r="B66" s="887" t="n"/>
      <c r="C66" s="888" t="n"/>
      <c r="D66" s="889" t="n"/>
      <c r="E66" s="889" t="n"/>
      <c r="F66" s="889" t="n"/>
      <c r="G66" s="889" t="n"/>
      <c r="H66" s="889" t="n"/>
      <c r="I66" s="887" t="n"/>
    </row>
    <row r="67" ht="16.5" customHeight="1" s="7">
      <c r="A67" s="890" t="n"/>
      <c r="B67" s="891" t="n"/>
      <c r="C67" s="890" t="n"/>
      <c r="I67" s="891" t="n"/>
    </row>
    <row r="68" ht="16.5" customHeight="1" s="7">
      <c r="A68" s="890" t="n"/>
      <c r="B68" s="891" t="n"/>
      <c r="C68" s="890" t="n"/>
      <c r="I68" s="891" t="n"/>
    </row>
    <row r="69" ht="16.5" customHeight="1" s="7">
      <c r="A69" s="890" t="n"/>
      <c r="B69" s="891" t="n"/>
      <c r="C69" s="890" t="n"/>
      <c r="I69" s="891" t="n"/>
    </row>
    <row r="70" ht="16.5" customHeight="1" s="7">
      <c r="A70" s="890" t="n"/>
      <c r="B70" s="891" t="n"/>
      <c r="C70" s="890" t="n"/>
      <c r="I70" s="891" t="n"/>
    </row>
    <row r="71" ht="16.5" customHeight="1" s="7">
      <c r="A71" s="890" t="n"/>
      <c r="B71" s="891" t="n"/>
      <c r="C71" s="890" t="n"/>
      <c r="I71" s="891" t="n"/>
    </row>
    <row r="72" ht="16.5" customHeight="1" s="7">
      <c r="A72" s="892" t="n"/>
      <c r="B72" s="893" t="n"/>
      <c r="C72" s="892" t="n"/>
      <c r="D72" s="771" t="n"/>
      <c r="E72" s="771" t="n"/>
      <c r="F72" s="771" t="n"/>
      <c r="G72" s="771" t="n"/>
      <c r="H72" s="771" t="n"/>
      <c r="I72" s="893" t="n"/>
    </row>
    <row r="73" ht="12" customHeight="1" s="7"/>
    <row r="74" ht="16.5" customHeight="1" s="7">
      <c r="A74" s="578" t="inlineStr">
        <is>
          <t>□完工検査を実施しました</t>
        </is>
      </c>
    </row>
    <row r="75" ht="16.5" customHeight="1" s="7">
      <c r="A75" s="578" t="inlineStr">
        <is>
          <t>□上記の工事完了を確認しました</t>
        </is>
      </c>
    </row>
    <row r="76" ht="16.5" customHeight="1" s="7">
      <c r="A76" s="578" t="inlineStr">
        <is>
          <t>２０２６年　　月　　日</t>
        </is>
      </c>
    </row>
    <row r="77" ht="16.5" customHeight="1" s="7">
      <c r="A77" s="578" t="inlineStr">
        <is>
          <t>お客様氏名：</t>
        </is>
      </c>
      <c r="H77" s="271" t="inlineStr">
        <is>
          <t>お客様印</t>
        </is>
      </c>
      <c r="I77" s="271" t="inlineStr">
        <is>
          <t>担当者印</t>
        </is>
      </c>
    </row>
    <row r="78" ht="16.5" customHeight="1" s="7">
      <c r="H78" s="271" t="n"/>
      <c r="I78" s="271" t="n"/>
    </row>
    <row r="79" ht="16.5" customHeight="1" s="7">
      <c r="H79" s="851" t="n"/>
      <c r="I79" s="851" t="n"/>
    </row>
    <row r="80" ht="16.5" customHeight="1" s="7">
      <c r="H80" s="852" t="n"/>
      <c r="I80" s="852" t="n"/>
    </row>
  </sheetData>
  <sheetProtection selectLockedCells="0" selectUnlockedCells="0" sheet="1" objects="1" insertRows="1" insertHyperlinks="1" autoFilter="1" scenarios="1" formatColumns="1" deleteColumns="1" insertColumns="1" pivotTables="1" deleteRows="1" formatCells="1" formatRows="1" sort="1"/>
  <mergeCells count="32">
    <mergeCell ref="A75:F75"/>
    <mergeCell ref="H1:I1"/>
    <mergeCell ref="A37:F37"/>
    <mergeCell ref="H41:I41"/>
    <mergeCell ref="I38:I40"/>
    <mergeCell ref="A2:C2"/>
    <mergeCell ref="C53:I53"/>
    <mergeCell ref="A42:C42"/>
    <mergeCell ref="A54:B54"/>
    <mergeCell ref="C13:I13"/>
    <mergeCell ref="I78:I80"/>
    <mergeCell ref="A76:F76"/>
    <mergeCell ref="C66:I72"/>
    <mergeCell ref="C55:I65"/>
    <mergeCell ref="H38:H40"/>
    <mergeCell ref="A35:F35"/>
    <mergeCell ref="C14:I14"/>
    <mergeCell ref="A66:B72"/>
    <mergeCell ref="A15:B25"/>
    <mergeCell ref="C26:I32"/>
    <mergeCell ref="H78:H80"/>
    <mergeCell ref="A14:B14"/>
    <mergeCell ref="C54:I54"/>
    <mergeCell ref="A77:F77"/>
    <mergeCell ref="A53:B53"/>
    <mergeCell ref="A51:I51"/>
    <mergeCell ref="A11:I11"/>
    <mergeCell ref="A36:F36"/>
    <mergeCell ref="A13:B13"/>
    <mergeCell ref="A26:B32"/>
    <mergeCell ref="C15:I25"/>
    <mergeCell ref="A55:B65"/>
  </mergeCells>
  <printOptions horizontalCentered="1" verticalCentered="1"/>
  <pageMargins left="0.7086614173228347" right="0.7086614173228347" top="0.7480314960629921" bottom="0.7480314960629921" header="0.3149606299212598" footer="0.3149606299212598"/>
  <pageSetup orientation="portrait" paperSize="9" verticalDpi="1200"/>
  <rowBreaks count="1" manualBreakCount="1">
    <brk id="40" min="0" max="16383" man="1"/>
  </rowBreaks>
  <drawing xmlns:r="http://schemas.openxmlformats.org/officeDocument/2006/relationships" r:id="rId1"/>
</worksheet>
</file>

<file path=xl/worksheets/sheet12.xml><?xml version="1.0" encoding="utf-8"?>
<worksheet xmlns="http://schemas.openxmlformats.org/spreadsheetml/2006/main">
  <sheetPr codeName="Sheet12">
    <outlinePr summaryBelow="1" summaryRight="1"/>
    <pageSetUpPr/>
  </sheetPr>
  <dimension ref="A1:AC40"/>
  <sheetViews>
    <sheetView view="pageBreakPreview" topLeftCell="A4" zoomScaleNormal="100" workbookViewId="0">
      <selection activeCell="AJ6" sqref="AJ6"/>
    </sheetView>
  </sheetViews>
  <sheetFormatPr baseColWidth="8" defaultColWidth="3.09765625" defaultRowHeight="18"/>
  <cols>
    <col width="3.296875" customWidth="1" style="7" min="1" max="1"/>
    <col width="3.09765625" customWidth="1" style="293" min="3" max="13"/>
    <col width="3.19921875" customWidth="1" style="293" min="14" max="14"/>
    <col width="3.09765625" customWidth="1" style="293" min="15" max="25"/>
    <col width="2.09765625" customWidth="1" style="293" min="26" max="26"/>
    <col width="3.09765625" customWidth="1" style="293" min="27" max="28"/>
    <col width="3.09765625" customWidth="1" style="293" min="29" max="29"/>
    <col width="3.09765625" customWidth="1" style="293" min="30" max="16382"/>
  </cols>
  <sheetData>
    <row r="1">
      <c r="T1" s="622" t="inlineStr">
        <is>
          <t>令和</t>
        </is>
      </c>
      <c r="V1" s="627" t="n"/>
      <c r="W1" s="622" t="inlineStr">
        <is>
          <t>年</t>
        </is>
      </c>
      <c r="X1" s="627" t="n"/>
      <c r="Y1" s="622" t="inlineStr">
        <is>
          <t>月</t>
        </is>
      </c>
      <c r="Z1" s="627" t="n"/>
      <c r="AA1" s="622" t="inlineStr">
        <is>
          <t>日</t>
        </is>
      </c>
      <c r="AB1" s="622" t="n"/>
      <c r="AC1" s="622" t="n"/>
    </row>
    <row r="2" ht="13.5" customHeight="1" s="7">
      <c r="C2" s="295" t="n"/>
      <c r="D2" s="295" t="n"/>
      <c r="E2" s="295" t="n"/>
      <c r="F2" s="295" t="n"/>
      <c r="G2" s="295" t="n"/>
      <c r="H2" s="295" t="n"/>
      <c r="I2" s="295" t="n"/>
      <c r="J2" s="295" t="n"/>
      <c r="K2" s="295" t="n"/>
      <c r="L2" s="295" t="n"/>
      <c r="M2" s="295" t="n"/>
      <c r="N2" s="295" t="n"/>
      <c r="O2" s="295" t="n"/>
      <c r="P2" s="295" t="n"/>
      <c r="Q2" s="295" t="n"/>
      <c r="R2" s="295" t="n"/>
      <c r="S2" s="295" t="n"/>
      <c r="T2" s="295" t="n"/>
      <c r="U2" s="295" t="n"/>
      <c r="V2" s="295" t="n"/>
      <c r="W2" s="295" t="n"/>
      <c r="X2" s="295" t="n"/>
      <c r="Y2" s="295" t="n"/>
      <c r="Z2" s="295" t="n"/>
      <c r="AA2" s="295" t="n"/>
      <c r="AB2" s="295" t="n"/>
      <c r="AC2" s="295" t="n"/>
    </row>
    <row r="3" ht="13.5" customHeight="1" s="7">
      <c r="C3" s="623" t="inlineStr">
        <is>
          <t>工事保証書</t>
        </is>
      </c>
      <c r="AB3" s="623" t="n"/>
      <c r="AC3" s="623" t="n"/>
    </row>
    <row r="4" ht="13.5" customHeight="1" s="7">
      <c r="AB4" s="623" t="n"/>
      <c r="AC4" s="623" t="n"/>
    </row>
    <row r="5" ht="28.8" customHeight="1" s="7">
      <c r="AB5" s="623" t="n"/>
      <c r="AC5" s="623" t="n"/>
    </row>
    <row r="6">
      <c r="C6" s="624" t="inlineStr">
        <is>
          <t>様</t>
        </is>
      </c>
    </row>
    <row r="7">
      <c r="T7" s="628" t="n"/>
      <c r="W7" s="297" t="n"/>
      <c r="X7" s="297" t="n"/>
      <c r="Y7" s="297" t="n"/>
      <c r="Z7" s="297" t="n"/>
      <c r="AA7" s="297" t="n"/>
    </row>
    <row r="8">
      <c r="S8" s="622" t="n"/>
      <c r="T8" s="622">
        <f>見積書!K4</f>
        <v/>
      </c>
      <c r="AB8" s="633" t="n"/>
      <c r="AC8" s="633" t="n"/>
    </row>
    <row r="9" ht="18" customHeight="1" s="7">
      <c r="C9" s="625" t="inlineStr">
        <is>
          <t>この度は、弊社に工事をご発注頂き、誠にありがとうございました。</t>
        </is>
      </c>
      <c r="R9" s="633" t="n"/>
      <c r="S9" s="626">
        <f>見積書!K5</f>
        <v/>
      </c>
      <c r="AC9" s="299" t="n"/>
    </row>
    <row r="10" ht="18" customHeight="1" s="7">
      <c r="C10" s="625" t="inlineStr">
        <is>
          <t>工事には万全を期しておりますが、万一、不具合が生じた場合には、</t>
        </is>
      </c>
      <c r="R10" s="633" t="n"/>
      <c r="S10" s="626">
        <f>見積書!K7</f>
        <v/>
      </c>
      <c r="AC10" s="299" t="n"/>
    </row>
    <row r="11" ht="18" customHeight="1" s="7">
      <c r="C11" s="625" t="inlineStr">
        <is>
          <t>下記の通り保証いたします。</t>
        </is>
      </c>
      <c r="R11" s="627" t="n"/>
      <c r="T11" s="622">
        <f>見積書!K8</f>
        <v/>
      </c>
      <c r="AB11" s="633" t="n"/>
      <c r="AC11" s="633" t="n"/>
    </row>
    <row r="12" ht="18" customHeight="1" s="7">
      <c r="R12" s="627" t="n"/>
      <c r="T12" s="633" t="n"/>
      <c r="AB12" s="633" t="n"/>
      <c r="AC12" s="633" t="n"/>
    </row>
    <row r="13" ht="18" customHeight="1" s="7">
      <c r="C13" s="629" t="inlineStr">
        <is>
          <t>【工事名】</t>
        </is>
      </c>
      <c r="H13" s="630">
        <f>物件概要!C4</f>
        <v/>
      </c>
      <c r="R13" s="631" t="n"/>
      <c r="T13" s="632" t="inlineStr">
        <is>
          <t>mailto:info@sagami-life.com</t>
        </is>
      </c>
      <c r="AB13" s="578" t="n"/>
      <c r="AC13" s="578" t="n"/>
    </row>
    <row r="14" ht="18" customHeight="1" s="7">
      <c r="C14" s="629" t="inlineStr">
        <is>
          <t>【工事場所】</t>
        </is>
      </c>
      <c r="H14" s="630">
        <f>物件概要!C3</f>
        <v/>
      </c>
      <c r="R14" s="627" t="n"/>
      <c r="T14" s="633" t="n"/>
      <c r="AB14" s="633" t="n"/>
      <c r="AC14" s="633" t="n"/>
    </row>
    <row r="15" ht="18" customHeight="1" s="7">
      <c r="C15" s="629" t="inlineStr">
        <is>
          <t>【完成引渡日】</t>
        </is>
      </c>
      <c r="H15" s="634" t="inlineStr">
        <is>
          <t>作業完了報告書参照</t>
        </is>
      </c>
    </row>
    <row r="16" ht="18" customHeight="1" s="7">
      <c r="C16" s="629" t="inlineStr">
        <is>
          <t>【保証期間】</t>
        </is>
      </c>
      <c r="H16" s="630" t="inlineStr">
        <is>
          <t>下記参照</t>
        </is>
      </c>
    </row>
    <row r="18">
      <c r="C18" s="629" t="inlineStr">
        <is>
          <t>≪保証内容≫</t>
        </is>
      </c>
      <c r="H18" s="630" t="n"/>
      <c r="I18" s="630" t="n"/>
      <c r="J18" s="630" t="n"/>
      <c r="K18" s="630" t="n"/>
      <c r="L18" s="630" t="n"/>
      <c r="M18" s="630" t="n"/>
      <c r="N18" s="630" t="n"/>
      <c r="O18" s="630" t="n"/>
      <c r="P18" s="630" t="n"/>
      <c r="Q18" s="630" t="n"/>
      <c r="R18" s="630" t="n"/>
      <c r="S18" s="630" t="n"/>
      <c r="T18" s="630" t="n"/>
      <c r="U18" s="630" t="n"/>
      <c r="V18" s="630" t="n"/>
      <c r="W18" s="630" t="n"/>
      <c r="X18" s="630" t="n"/>
      <c r="Y18" s="630" t="n"/>
      <c r="Z18" s="630" t="n"/>
      <c r="AA18" s="630" t="n"/>
      <c r="AB18" s="630" t="n"/>
      <c r="AC18" s="630" t="n"/>
    </row>
    <row r="19">
      <c r="C19" s="630" t="inlineStr">
        <is>
          <t xml:space="preserve">　下記条件にすべて該当する場合、無償にて修理や修復工事をいたします。</t>
        </is>
      </c>
      <c r="AB19" s="630" t="n"/>
      <c r="AC19" s="630" t="n"/>
    </row>
    <row r="20">
      <c r="C20" s="630" t="inlineStr">
        <is>
          <t xml:space="preserve">　　1）本書記載の保証対象期間内であること</t>
        </is>
      </c>
      <c r="AB20" s="630" t="n"/>
      <c r="AC20" s="630" t="n"/>
    </row>
    <row r="21">
      <c r="C21" s="630" t="inlineStr">
        <is>
          <t xml:space="preserve">　　2）一般環境条件下、通常の設置環境、正常の使用状況の下であること</t>
        </is>
      </c>
      <c r="AB21" s="630" t="n"/>
      <c r="AC21" s="630" t="n"/>
    </row>
    <row r="22">
      <c r="C22" s="630" t="inlineStr">
        <is>
          <t xml:space="preserve">　　3）本書のご提示があること</t>
        </is>
      </c>
      <c r="AB22" s="630" t="n"/>
      <c r="AC22" s="630" t="n"/>
    </row>
    <row r="23">
      <c r="C23" s="630" t="n"/>
      <c r="D23" s="630" t="n"/>
      <c r="E23" s="630" t="n"/>
      <c r="F23" s="630" t="n"/>
      <c r="G23" s="630" t="n"/>
      <c r="H23" s="630" t="n"/>
      <c r="I23" s="630" t="n"/>
      <c r="J23" s="630" t="n"/>
      <c r="K23" s="630" t="n"/>
      <c r="L23" s="630" t="n"/>
      <c r="M23" s="630" t="n"/>
      <c r="N23" s="630" t="n"/>
      <c r="O23" s="630" t="n"/>
      <c r="P23" s="630" t="n"/>
      <c r="Q23" s="630" t="n"/>
      <c r="R23" s="630" t="n"/>
      <c r="S23" s="630" t="n"/>
      <c r="T23" s="630" t="n"/>
      <c r="U23" s="630" t="n"/>
      <c r="V23" s="630" t="n"/>
      <c r="W23" s="630" t="n"/>
      <c r="X23" s="630" t="n"/>
      <c r="Y23" s="630" t="n"/>
      <c r="Z23" s="630" t="n"/>
      <c r="AA23" s="630" t="n"/>
      <c r="AB23" s="630" t="n"/>
      <c r="AC23" s="630" t="n"/>
    </row>
    <row r="24">
      <c r="C24" s="630" t="inlineStr">
        <is>
          <t>≪保証の適用外≫</t>
        </is>
      </c>
      <c r="H24" s="630" t="n"/>
      <c r="I24" s="630" t="n"/>
      <c r="J24" s="630" t="n"/>
      <c r="K24" s="630" t="n"/>
      <c r="L24" s="630" t="n"/>
      <c r="M24" s="630" t="n"/>
      <c r="N24" s="630" t="n"/>
      <c r="O24" s="630" t="n"/>
      <c r="P24" s="630" t="n"/>
      <c r="Q24" s="630" t="n"/>
      <c r="R24" s="630" t="n"/>
      <c r="S24" s="630" t="n"/>
      <c r="T24" s="630" t="n"/>
      <c r="U24" s="630" t="n"/>
      <c r="V24" s="630" t="n"/>
      <c r="W24" s="630" t="n"/>
      <c r="X24" s="630" t="n"/>
      <c r="Y24" s="630" t="n"/>
      <c r="Z24" s="630" t="n"/>
      <c r="AA24" s="630" t="n"/>
      <c r="AB24" s="630" t="n"/>
      <c r="AC24" s="630" t="n"/>
    </row>
    <row r="25">
      <c r="C25" s="630" t="inlineStr">
        <is>
          <t xml:space="preserve">　以下に示す事項に起因する故障や損傷及び使用上影響のない感覚的な評価はご容赦下さい。</t>
        </is>
      </c>
      <c r="AB25" s="630" t="n"/>
      <c r="AC25" s="630" t="n"/>
    </row>
    <row r="26">
      <c r="C26" s="630" t="inlineStr">
        <is>
          <t xml:space="preserve">　　1）お客様のご使用上の誤りや、過失・修理・改修・移動等によって発生したもの</t>
        </is>
      </c>
      <c r="AB26" s="630" t="n"/>
      <c r="AC26" s="630" t="n"/>
    </row>
    <row r="27">
      <c r="C27" s="630" t="inlineStr">
        <is>
          <t xml:space="preserve">　　2）摩擦・摩耗等の材料の自然特性、あるいは、経年変化に起因するもの</t>
        </is>
      </c>
      <c r="AB27" s="630" t="n"/>
      <c r="AC27" s="630" t="n"/>
    </row>
    <row r="28">
      <c r="C28" s="630" t="inlineStr">
        <is>
          <t xml:space="preserve">　　3）火災・地震・水害・落雷・その他天変地異・公害や異常電圧によるもの</t>
        </is>
      </c>
      <c r="AB28" s="630" t="n"/>
      <c r="AC28" s="630" t="n"/>
    </row>
    <row r="29">
      <c r="C29" s="629" t="inlineStr">
        <is>
          <t>≪保証期間≫</t>
        </is>
      </c>
    </row>
    <row r="30" ht="18.75" customHeight="1" s="7">
      <c r="C30" s="635" t="inlineStr">
        <is>
          <t>保証対象部位</t>
        </is>
      </c>
      <c r="D30" s="886" t="n"/>
      <c r="E30" s="886" t="n"/>
      <c r="F30" s="886" t="n"/>
      <c r="G30" s="886" t="n"/>
      <c r="H30" s="886" t="n"/>
      <c r="I30" s="885" t="n"/>
      <c r="J30" s="636" t="inlineStr">
        <is>
          <t>現象</t>
        </is>
      </c>
      <c r="K30" s="889" t="n"/>
      <c r="L30" s="889" t="n"/>
      <c r="M30" s="889" t="n"/>
      <c r="N30" s="889" t="n"/>
      <c r="O30" s="889" t="n"/>
      <c r="P30" s="889" t="n"/>
      <c r="Q30" s="887" t="n"/>
      <c r="R30" s="635" t="inlineStr">
        <is>
          <t>保証内容</t>
        </is>
      </c>
      <c r="S30" s="886" t="n"/>
      <c r="T30" s="886" t="n"/>
      <c r="U30" s="886" t="n"/>
      <c r="V30" s="886" t="n"/>
      <c r="W30" s="885" t="n"/>
      <c r="X30" s="635" t="inlineStr">
        <is>
          <t>保証期間</t>
        </is>
      </c>
      <c r="Y30" s="886" t="n"/>
      <c r="Z30" s="886" t="n"/>
      <c r="AA30" s="885" t="n"/>
      <c r="AB30" s="301" t="n"/>
      <c r="AC30" s="301" t="n"/>
    </row>
    <row r="31" ht="18" customHeight="1" s="7">
      <c r="C31" s="637" t="n"/>
      <c r="D31" s="889" t="n"/>
      <c r="E31" s="889" t="n"/>
      <c r="F31" s="889" t="n"/>
      <c r="G31" s="889" t="n"/>
      <c r="H31" s="889" t="n"/>
      <c r="I31" s="887" t="n"/>
      <c r="J31" s="639" t="n"/>
      <c r="K31" s="889" t="n"/>
      <c r="L31" s="889" t="n"/>
      <c r="M31" s="889" t="n"/>
      <c r="N31" s="889" t="n"/>
      <c r="O31" s="889" t="n"/>
      <c r="P31" s="889" t="n"/>
      <c r="Q31" s="889" t="n"/>
      <c r="R31" s="641" t="n"/>
      <c r="S31" s="889" t="n"/>
      <c r="T31" s="889" t="n"/>
      <c r="U31" s="889" t="n"/>
      <c r="V31" s="889" t="n"/>
      <c r="W31" s="887" t="n"/>
      <c r="X31" s="642" t="n"/>
      <c r="Y31" s="889" t="n"/>
      <c r="Z31" s="889" t="n"/>
      <c r="AA31" s="887" t="n"/>
      <c r="AB31" s="302" t="n"/>
      <c r="AC31" s="302" t="n"/>
    </row>
    <row r="32">
      <c r="C32" s="892" t="n"/>
      <c r="D32" s="771" t="n"/>
      <c r="E32" s="771" t="n"/>
      <c r="F32" s="771" t="n"/>
      <c r="G32" s="771" t="n"/>
      <c r="H32" s="771" t="n"/>
      <c r="I32" s="893" t="n"/>
      <c r="J32" s="643" t="n"/>
      <c r="K32" s="771" t="n"/>
      <c r="L32" s="771" t="n"/>
      <c r="M32" s="771" t="n"/>
      <c r="N32" s="771" t="n"/>
      <c r="O32" s="771" t="n"/>
      <c r="P32" s="771" t="n"/>
      <c r="Q32" s="771" t="n"/>
      <c r="R32" s="771" t="n"/>
      <c r="S32" s="771" t="n"/>
      <c r="T32" s="771" t="n"/>
      <c r="U32" s="771" t="n"/>
      <c r="V32" s="771" t="n"/>
      <c r="W32" s="893" t="n"/>
      <c r="X32" s="892" t="n"/>
      <c r="Y32" s="771" t="n"/>
      <c r="Z32" s="771" t="n"/>
      <c r="AA32" s="893" t="n"/>
      <c r="AB32" s="302" t="n"/>
      <c r="AC32" s="302" t="n"/>
    </row>
    <row r="33">
      <c r="C33" s="637" t="n"/>
      <c r="D33" s="889" t="n"/>
      <c r="E33" s="889" t="n"/>
      <c r="F33" s="889" t="n"/>
      <c r="G33" s="889" t="n"/>
      <c r="H33" s="889" t="n"/>
      <c r="I33" s="887" t="n"/>
      <c r="J33" s="639" t="n"/>
      <c r="K33" s="889" t="n"/>
      <c r="L33" s="889" t="n"/>
      <c r="M33" s="889" t="n"/>
      <c r="N33" s="889" t="n"/>
      <c r="O33" s="889" t="n"/>
      <c r="P33" s="889" t="n"/>
      <c r="Q33" s="889" t="n"/>
      <c r="R33" s="641" t="n"/>
      <c r="S33" s="889" t="n"/>
      <c r="T33" s="889" t="n"/>
      <c r="U33" s="889" t="n"/>
      <c r="V33" s="889" t="n"/>
      <c r="W33" s="887" t="n"/>
      <c r="X33" s="642" t="n"/>
      <c r="Y33" s="889" t="n"/>
      <c r="Z33" s="889" t="n"/>
      <c r="AA33" s="887" t="n"/>
      <c r="AB33" s="302" t="n"/>
      <c r="AC33" s="302" t="n"/>
    </row>
    <row r="34">
      <c r="C34" s="892" t="n"/>
      <c r="D34" s="771" t="n"/>
      <c r="E34" s="771" t="n"/>
      <c r="F34" s="771" t="n"/>
      <c r="G34" s="771" t="n"/>
      <c r="H34" s="771" t="n"/>
      <c r="I34" s="893" t="n"/>
      <c r="J34" s="643" t="n"/>
      <c r="K34" s="771" t="n"/>
      <c r="L34" s="771" t="n"/>
      <c r="M34" s="771" t="n"/>
      <c r="N34" s="771" t="n"/>
      <c r="O34" s="771" t="n"/>
      <c r="P34" s="771" t="n"/>
      <c r="Q34" s="771" t="n"/>
      <c r="R34" s="771" t="n"/>
      <c r="S34" s="771" t="n"/>
      <c r="T34" s="771" t="n"/>
      <c r="U34" s="771" t="n"/>
      <c r="V34" s="771" t="n"/>
      <c r="W34" s="893" t="n"/>
      <c r="X34" s="892" t="n"/>
      <c r="Y34" s="771" t="n"/>
      <c r="Z34" s="771" t="n"/>
      <c r="AA34" s="893" t="n"/>
      <c r="AB34" s="302" t="n"/>
      <c r="AC34" s="302" t="n"/>
    </row>
    <row r="35">
      <c r="C35" s="637" t="n"/>
      <c r="D35" s="889" t="n"/>
      <c r="E35" s="889" t="n"/>
      <c r="F35" s="889" t="n"/>
      <c r="G35" s="889" t="n"/>
      <c r="H35" s="889" t="n"/>
      <c r="I35" s="887" t="n"/>
      <c r="J35" s="639" t="n"/>
      <c r="K35" s="889" t="n"/>
      <c r="L35" s="889" t="n"/>
      <c r="M35" s="889" t="n"/>
      <c r="N35" s="889" t="n"/>
      <c r="O35" s="889" t="n"/>
      <c r="P35" s="889" t="n"/>
      <c r="Q35" s="889" t="n"/>
      <c r="R35" s="641" t="n"/>
      <c r="S35" s="889" t="n"/>
      <c r="T35" s="889" t="n"/>
      <c r="U35" s="889" t="n"/>
      <c r="V35" s="889" t="n"/>
      <c r="W35" s="887" t="n"/>
      <c r="X35" s="642" t="n"/>
      <c r="Y35" s="889" t="n"/>
      <c r="Z35" s="889" t="n"/>
      <c r="AA35" s="887" t="n"/>
      <c r="AB35" s="302" t="n"/>
      <c r="AC35" s="302" t="n"/>
    </row>
    <row r="36">
      <c r="C36" s="892" t="n"/>
      <c r="D36" s="771" t="n"/>
      <c r="E36" s="771" t="n"/>
      <c r="F36" s="771" t="n"/>
      <c r="G36" s="771" t="n"/>
      <c r="H36" s="771" t="n"/>
      <c r="I36" s="893" t="n"/>
      <c r="J36" s="643" t="n"/>
      <c r="K36" s="771" t="n"/>
      <c r="L36" s="771" t="n"/>
      <c r="M36" s="771" t="n"/>
      <c r="N36" s="771" t="n"/>
      <c r="O36" s="771" t="n"/>
      <c r="P36" s="771" t="n"/>
      <c r="Q36" s="771" t="n"/>
      <c r="R36" s="771" t="n"/>
      <c r="S36" s="771" t="n"/>
      <c r="T36" s="771" t="n"/>
      <c r="U36" s="771" t="n"/>
      <c r="V36" s="771" t="n"/>
      <c r="W36" s="893" t="n"/>
      <c r="X36" s="892" t="n"/>
      <c r="Y36" s="771" t="n"/>
      <c r="Z36" s="771" t="n"/>
      <c r="AA36" s="893" t="n"/>
      <c r="AB36" s="302" t="n"/>
      <c r="AC36" s="302" t="n"/>
    </row>
    <row r="37">
      <c r="C37" s="637" t="n"/>
      <c r="D37" s="889" t="n"/>
      <c r="E37" s="889" t="n"/>
      <c r="F37" s="889" t="n"/>
      <c r="G37" s="889" t="n"/>
      <c r="H37" s="889" t="n"/>
      <c r="I37" s="887" t="n"/>
      <c r="J37" s="639" t="n"/>
      <c r="K37" s="889" t="n"/>
      <c r="L37" s="889" t="n"/>
      <c r="M37" s="889" t="n"/>
      <c r="N37" s="889" t="n"/>
      <c r="O37" s="889" t="n"/>
      <c r="P37" s="889" t="n"/>
      <c r="Q37" s="889" t="n"/>
      <c r="R37" s="641" t="n"/>
      <c r="S37" s="889" t="n"/>
      <c r="T37" s="889" t="n"/>
      <c r="U37" s="889" t="n"/>
      <c r="V37" s="889" t="n"/>
      <c r="W37" s="887" t="n"/>
      <c r="X37" s="642" t="n"/>
      <c r="Y37" s="889" t="n"/>
      <c r="Z37" s="889" t="n"/>
      <c r="AA37" s="887" t="n"/>
      <c r="AB37" s="302" t="n"/>
      <c r="AC37" s="302" t="n"/>
    </row>
    <row r="38">
      <c r="C38" s="892" t="n"/>
      <c r="D38" s="771" t="n"/>
      <c r="E38" s="771" t="n"/>
      <c r="F38" s="771" t="n"/>
      <c r="G38" s="771" t="n"/>
      <c r="H38" s="771" t="n"/>
      <c r="I38" s="893" t="n"/>
      <c r="J38" s="643" t="n"/>
      <c r="K38" s="771" t="n"/>
      <c r="L38" s="771" t="n"/>
      <c r="M38" s="771" t="n"/>
      <c r="N38" s="771" t="n"/>
      <c r="O38" s="771" t="n"/>
      <c r="P38" s="771" t="n"/>
      <c r="Q38" s="771" t="n"/>
      <c r="R38" s="771" t="n"/>
      <c r="S38" s="771" t="n"/>
      <c r="T38" s="771" t="n"/>
      <c r="U38" s="771" t="n"/>
      <c r="V38" s="771" t="n"/>
      <c r="W38" s="893" t="n"/>
      <c r="X38" s="892" t="n"/>
      <c r="Y38" s="771" t="n"/>
      <c r="Z38" s="771" t="n"/>
      <c r="AA38" s="893" t="n"/>
      <c r="AB38" s="302" t="n"/>
      <c r="AC38" s="302" t="n"/>
    </row>
    <row r="39" ht="62.1" customHeight="1" s="7">
      <c r="A39" s="645" t="n"/>
      <c r="AB39" s="645" t="n"/>
      <c r="AC39" s="645" t="n"/>
    </row>
    <row r="40" ht="63" customHeight="1" s="7">
      <c r="AC40" s="645" t="n"/>
    </row>
  </sheetData>
  <sheetProtection selectLockedCells="0" selectUnlockedCells="0" sheet="1" objects="1" insertRows="1" insertHyperlinks="1" autoFilter="1" scenarios="1" formatColumns="1" deleteColumns="1" insertColumns="1" pivotTables="1" deleteRows="1" formatCells="1" formatRows="1" sort="1"/>
  <mergeCells count="62">
    <mergeCell ref="R30:W30"/>
    <mergeCell ref="H13:Q13"/>
    <mergeCell ref="C10:Q10"/>
    <mergeCell ref="C24:G24"/>
    <mergeCell ref="S9:AB9"/>
    <mergeCell ref="R11:S11"/>
    <mergeCell ref="C33:I34"/>
    <mergeCell ref="C27:AA27"/>
    <mergeCell ref="R33:W34"/>
    <mergeCell ref="C15:G15"/>
    <mergeCell ref="J38:Q38"/>
    <mergeCell ref="T14:AA14"/>
    <mergeCell ref="C14:G14"/>
    <mergeCell ref="R13:S13"/>
    <mergeCell ref="C9:Q9"/>
    <mergeCell ref="H15:Q15"/>
    <mergeCell ref="J37:Q37"/>
    <mergeCell ref="X37:AA38"/>
    <mergeCell ref="C35:I36"/>
    <mergeCell ref="C29:G29"/>
    <mergeCell ref="H14:Q14"/>
    <mergeCell ref="J34:Q34"/>
    <mergeCell ref="C19:AA19"/>
    <mergeCell ref="C28:AA28"/>
    <mergeCell ref="J30:Q30"/>
    <mergeCell ref="C16:G16"/>
    <mergeCell ref="C11:Q11"/>
    <mergeCell ref="C30:I30"/>
    <mergeCell ref="R31:W32"/>
    <mergeCell ref="T7:V7"/>
    <mergeCell ref="X33:AA34"/>
    <mergeCell ref="J36:Q36"/>
    <mergeCell ref="C31:I32"/>
    <mergeCell ref="R12:S12"/>
    <mergeCell ref="C3:AA5"/>
    <mergeCell ref="J35:Q35"/>
    <mergeCell ref="T12:AA12"/>
    <mergeCell ref="T11:AA11"/>
    <mergeCell ref="T1:U1"/>
    <mergeCell ref="J32:Q32"/>
    <mergeCell ref="C26:AA26"/>
    <mergeCell ref="C20:AA20"/>
    <mergeCell ref="J31:Q31"/>
    <mergeCell ref="X35:AA36"/>
    <mergeCell ref="T8:AA8"/>
    <mergeCell ref="R37:W38"/>
    <mergeCell ref="X31:AA32"/>
    <mergeCell ref="C25:AA25"/>
    <mergeCell ref="T13:AA13"/>
    <mergeCell ref="A39:AA39"/>
    <mergeCell ref="C6:N8"/>
    <mergeCell ref="H16:Q16"/>
    <mergeCell ref="C22:AA22"/>
    <mergeCell ref="R35:W36"/>
    <mergeCell ref="C37:I38"/>
    <mergeCell ref="J33:Q33"/>
    <mergeCell ref="X30:AA30"/>
    <mergeCell ref="R14:S14"/>
    <mergeCell ref="C13:G13"/>
    <mergeCell ref="S10:AB10"/>
    <mergeCell ref="C18:G18"/>
    <mergeCell ref="C21:AA21"/>
  </mergeCells>
  <hyperlinks>
    <hyperlink xmlns:r="http://schemas.openxmlformats.org/officeDocument/2006/relationships" ref="T13" tooltip="mailto:info@sagami-life.com" display="mailto:info@sagami-life.com" r:id="rId1"/>
  </hyperlinks>
  <printOptions horizontalCentered="1" verticalCentered="1"/>
  <pageMargins left="0.2362204724409449" right="0.2362204724409449" top="0.7480314960629921" bottom="0.3149606299212598" header="0.3149606299212598" footer="0.3149606299212598"/>
  <pageSetup orientation="portrait" paperSize="9"/>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F47"/>
  <sheetViews>
    <sheetView showGridLines="0" tabSelected="1" view="pageBreakPreview" topLeftCell="A4" zoomScaleNormal="100" workbookViewId="0">
      <selection activeCell="H12" sqref="H12"/>
    </sheetView>
  </sheetViews>
  <sheetFormatPr baseColWidth="8" defaultColWidth="8.59765625" defaultRowHeight="18"/>
  <cols>
    <col width="11.296875" customWidth="1" style="7" min="1" max="1"/>
    <col width="42.09765625" customWidth="1" style="7" min="2" max="2"/>
    <col width="5.09765625" customWidth="1" style="7" min="3" max="3"/>
    <col width="17.296875" customWidth="1" style="7" min="4" max="4"/>
    <col width="10.796875" customWidth="1" style="7" min="5" max="5"/>
    <col width="21.69921875" customWidth="1" style="7" min="6" max="6"/>
  </cols>
  <sheetData>
    <row r="1" ht="39" customHeight="1" s="7">
      <c r="A1" s="350" t="inlineStr">
        <is>
          <t>請　求　書</t>
        </is>
      </c>
    </row>
    <row r="2">
      <c r="A2" s="304" t="n"/>
      <c r="B2" s="304" t="n"/>
      <c r="C2" s="304" t="n"/>
      <c r="D2" s="304" t="n"/>
      <c r="E2" s="305" t="n"/>
      <c r="F2" s="306" t="n"/>
    </row>
    <row r="3" ht="19.8" customHeight="1" s="7">
      <c r="A3" s="307" t="n"/>
      <c r="B3" s="304" t="n"/>
      <c r="C3" s="308" t="n"/>
      <c r="D3" s="304" t="n"/>
      <c r="E3" s="309" t="inlineStr">
        <is>
          <t>請求日</t>
        </is>
      </c>
      <c r="F3" s="894">
        <f>TODAY()</f>
        <v/>
      </c>
    </row>
    <row r="4" ht="27" customHeight="1" s="7" thickBot="1">
      <c r="A4" s="351">
        <f>物件概要!C1</f>
        <v/>
      </c>
      <c r="B4" s="895" t="n"/>
      <c r="C4" s="304" t="n"/>
      <c r="D4" s="304" t="n"/>
      <c r="E4" s="304" t="n"/>
      <c r="F4" s="304" t="n"/>
    </row>
    <row r="5" ht="18.6" customHeight="1" s="7" thickTop="1">
      <c r="A5" s="311" t="n"/>
      <c r="B5" s="312" t="n"/>
      <c r="C5" s="311" t="n"/>
      <c r="D5" s="311" t="n"/>
      <c r="E5" s="311" t="inlineStr">
        <is>
          <t>Renovation Shop りほむる</t>
        </is>
      </c>
      <c r="F5" s="311" t="n"/>
    </row>
    <row r="6">
      <c r="A6" s="311" t="n"/>
      <c r="B6" s="313" t="n"/>
      <c r="C6" s="311" t="n"/>
      <c r="D6" s="311" t="n"/>
      <c r="E6" s="349" t="inlineStr">
        <is>
          <t>登録番号：T8810494589309</t>
        </is>
      </c>
    </row>
    <row r="7">
      <c r="A7" s="311" t="n"/>
      <c r="B7" s="313" t="n"/>
      <c r="C7" s="311" t="n"/>
      <c r="D7" s="311" t="n"/>
      <c r="E7" s="352">
        <f>見積書!K7</f>
        <v/>
      </c>
    </row>
    <row r="8">
      <c r="A8" s="315" t="n"/>
      <c r="B8" s="313" t="n"/>
      <c r="C8" s="304" t="n"/>
      <c r="D8" s="304" t="n"/>
      <c r="E8" s="349" t="inlineStr">
        <is>
          <t>代表　藤原　祐二</t>
        </is>
      </c>
    </row>
    <row r="9">
      <c r="A9" s="315" t="n"/>
      <c r="B9" s="313" t="n"/>
      <c r="C9" s="304" t="n"/>
      <c r="D9" s="304" t="n"/>
      <c r="E9" s="349" t="inlineStr">
        <is>
          <t>TEL０４４-４００-０５７０</t>
        </is>
      </c>
    </row>
    <row r="10">
      <c r="A10" s="313" t="n"/>
      <c r="B10" s="304" t="n"/>
      <c r="C10" s="304" t="n"/>
      <c r="D10" s="304" t="n"/>
      <c r="E10" s="349" t="inlineStr">
        <is>
          <t>FAX０４４-４００-０５７１</t>
        </is>
      </c>
    </row>
    <row r="11" ht="18.6" customHeight="1" s="7" thickBot="1">
      <c r="A11" s="316" t="inlineStr">
        <is>
          <t>下記をご請求申し上げます。</t>
        </is>
      </c>
      <c r="B11" s="304" t="n"/>
      <c r="C11" s="304" t="n"/>
      <c r="D11" s="304" t="n"/>
      <c r="E11" s="317" t="n"/>
      <c r="F11" s="317" t="n"/>
    </row>
    <row r="12" ht="27" customHeight="1" s="7" thickBot="1">
      <c r="A12" s="318" t="inlineStr">
        <is>
          <t>合計(税込)</t>
        </is>
      </c>
      <c r="B12" s="896">
        <f>F40</f>
        <v/>
      </c>
      <c r="C12" s="304" t="n"/>
      <c r="D12" s="304" t="n"/>
      <c r="E12" s="307" t="n"/>
      <c r="F12" s="304" t="n"/>
    </row>
    <row r="13">
      <c r="A13" s="304" t="n"/>
      <c r="B13" s="304" t="n"/>
      <c r="C13" s="304" t="n"/>
      <c r="D13" s="304" t="n"/>
      <c r="E13" s="349" t="n"/>
      <c r="F13" s="304" t="n"/>
    </row>
    <row r="14">
      <c r="A14" s="321" t="inlineStr">
        <is>
          <t>品目</t>
        </is>
      </c>
      <c r="B14" s="897" t="n"/>
      <c r="C14" s="321" t="inlineStr">
        <is>
          <t>単位</t>
        </is>
      </c>
      <c r="D14" s="321" t="inlineStr">
        <is>
          <t>単価</t>
        </is>
      </c>
      <c r="E14" s="321" t="inlineStr">
        <is>
          <t>数量</t>
        </is>
      </c>
      <c r="F14" s="356" t="inlineStr">
        <is>
          <t>価格</t>
        </is>
      </c>
    </row>
    <row r="15">
      <c r="A15" s="360" t="n"/>
      <c r="B15" s="897" t="n"/>
      <c r="C15" s="360" t="inlineStr">
        <is>
          <t>式</t>
        </is>
      </c>
      <c r="D15" s="360" t="n"/>
      <c r="E15" s="323" t="n"/>
      <c r="F15" s="898">
        <f>D15*E15</f>
        <v/>
      </c>
    </row>
    <row r="16">
      <c r="A16" s="360" t="n"/>
      <c r="B16" s="897" t="n"/>
      <c r="C16" s="360" t="n"/>
      <c r="D16" s="360" t="n"/>
      <c r="E16" s="323" t="n"/>
      <c r="F16" s="898">
        <f>D16*E16</f>
        <v/>
      </c>
    </row>
    <row r="17">
      <c r="A17" s="360" t="n"/>
      <c r="B17" s="897" t="n"/>
      <c r="C17" s="360" t="n"/>
      <c r="D17" s="360" t="n"/>
      <c r="E17" s="323" t="n"/>
      <c r="F17" s="898">
        <f>D17*E17</f>
        <v/>
      </c>
    </row>
    <row r="18">
      <c r="A18" s="360" t="n"/>
      <c r="B18" s="897" t="n"/>
      <c r="C18" s="360" t="n"/>
      <c r="D18" s="360" t="n"/>
      <c r="E18" s="323" t="n"/>
      <c r="F18" s="898">
        <f>D18*E18</f>
        <v/>
      </c>
    </row>
    <row r="19">
      <c r="A19" s="360" t="n"/>
      <c r="B19" s="897" t="n"/>
      <c r="C19" s="360" t="n"/>
      <c r="D19" s="360" t="n"/>
      <c r="E19" s="323" t="n"/>
      <c r="F19" s="898">
        <f>D19*E19</f>
        <v/>
      </c>
    </row>
    <row r="20">
      <c r="A20" s="360" t="n"/>
      <c r="B20" s="897" t="n"/>
      <c r="C20" s="360" t="n"/>
      <c r="D20" s="360" t="n"/>
      <c r="E20" s="323" t="n"/>
      <c r="F20" s="898">
        <f>D20*E20</f>
        <v/>
      </c>
    </row>
    <row r="21">
      <c r="A21" s="360" t="n"/>
      <c r="B21" s="897" t="n"/>
      <c r="C21" s="360" t="n"/>
      <c r="D21" s="360" t="n"/>
      <c r="E21" s="323" t="n"/>
      <c r="F21" s="898">
        <f>D21*E21</f>
        <v/>
      </c>
    </row>
    <row r="22">
      <c r="A22" s="360" t="n"/>
      <c r="B22" s="897" t="n"/>
      <c r="C22" s="360" t="n"/>
      <c r="D22" s="360" t="n"/>
      <c r="E22" s="323" t="n"/>
      <c r="F22" s="898">
        <f>D22*E22</f>
        <v/>
      </c>
    </row>
    <row r="23">
      <c r="A23" s="360" t="n"/>
      <c r="B23" s="897" t="n"/>
      <c r="C23" s="360" t="n"/>
      <c r="D23" s="360" t="n"/>
      <c r="E23" s="323" t="n"/>
      <c r="F23" s="898">
        <f>ROUND(D23*E23,0)</f>
        <v/>
      </c>
    </row>
    <row r="24">
      <c r="A24" s="360" t="n"/>
      <c r="B24" s="897" t="n"/>
      <c r="C24" s="360" t="n"/>
      <c r="D24" s="360" t="n"/>
      <c r="E24" s="323" t="n"/>
      <c r="F24" s="898">
        <f>ROUND(D24*E24,0)</f>
        <v/>
      </c>
    </row>
    <row r="25">
      <c r="A25" s="360" t="n"/>
      <c r="B25" s="897" t="n"/>
      <c r="C25" s="360" t="n"/>
      <c r="D25" s="360" t="n"/>
      <c r="E25" s="323" t="n"/>
      <c r="F25" s="898">
        <f>ROUND(D25*E25,0)</f>
        <v/>
      </c>
    </row>
    <row r="26">
      <c r="A26" s="360" t="n"/>
      <c r="B26" s="897" t="n"/>
      <c r="C26" s="360" t="n"/>
      <c r="D26" s="360" t="n"/>
      <c r="E26" s="323" t="n"/>
      <c r="F26" s="898">
        <f>ROUND(D26*E26,0)</f>
        <v/>
      </c>
    </row>
    <row r="27">
      <c r="A27" s="360" t="n"/>
      <c r="B27" s="897" t="n"/>
      <c r="C27" s="360" t="n"/>
      <c r="D27" s="360" t="n"/>
      <c r="E27" s="323" t="n"/>
      <c r="F27" s="898">
        <f>ROUND(D27*E27,0)</f>
        <v/>
      </c>
    </row>
    <row r="28">
      <c r="A28" s="360" t="n"/>
      <c r="B28" s="897" t="n"/>
      <c r="C28" s="360" t="n"/>
      <c r="D28" s="360" t="n"/>
      <c r="E28" s="323" t="n"/>
      <c r="F28" s="898">
        <f>D28*E28</f>
        <v/>
      </c>
    </row>
    <row r="29">
      <c r="A29" s="360" t="n"/>
      <c r="B29" s="897" t="n"/>
      <c r="C29" s="360" t="n"/>
      <c r="D29" s="360" t="n"/>
      <c r="E29" s="323" t="n"/>
      <c r="F29" s="898">
        <f>D29*E29</f>
        <v/>
      </c>
    </row>
    <row r="30">
      <c r="A30" s="360" t="n"/>
      <c r="B30" s="897" t="n"/>
      <c r="C30" s="360" t="n"/>
      <c r="D30" s="360" t="n"/>
      <c r="E30" s="323" t="n"/>
      <c r="F30" s="898">
        <f>ROUND(D30*E30,0)</f>
        <v/>
      </c>
    </row>
    <row r="31">
      <c r="A31" s="360" t="n"/>
      <c r="B31" s="897" t="n"/>
      <c r="C31" s="360" t="n"/>
      <c r="D31" s="360" t="n"/>
      <c r="E31" s="323" t="n"/>
      <c r="F31" s="898">
        <f>ROUND(D31*E31,0)</f>
        <v/>
      </c>
    </row>
    <row r="32">
      <c r="A32" s="360" t="n"/>
      <c r="B32" s="897" t="n"/>
      <c r="C32" s="360" t="n"/>
      <c r="D32" s="360" t="n"/>
      <c r="E32" s="323" t="n"/>
      <c r="F32" s="898">
        <f>ROUND(D32*E32,0)</f>
        <v/>
      </c>
    </row>
    <row r="33">
      <c r="A33" s="360" t="n"/>
      <c r="B33" s="897" t="n"/>
      <c r="C33" s="360" t="n"/>
      <c r="D33" s="360" t="n"/>
      <c r="E33" s="323" t="n"/>
      <c r="F33" s="898">
        <f>ROUND(D33*E33,0)</f>
        <v/>
      </c>
    </row>
    <row r="34">
      <c r="A34" s="360" t="n"/>
      <c r="B34" s="897" t="n"/>
      <c r="C34" s="360" t="n"/>
      <c r="D34" s="360" t="n"/>
      <c r="E34" s="323" t="n"/>
      <c r="F34" s="898">
        <f>ROUND(D34*E34,0)</f>
        <v/>
      </c>
    </row>
    <row r="35">
      <c r="A35" s="360" t="n"/>
      <c r="B35" s="897" t="n"/>
      <c r="C35" s="360" t="n"/>
      <c r="D35" s="360" t="n"/>
      <c r="E35" s="323" t="n"/>
      <c r="F35" s="898">
        <f>ROUND(D35*E35,0)</f>
        <v/>
      </c>
    </row>
    <row r="36">
      <c r="A36" s="360" t="n"/>
      <c r="B36" s="897" t="n"/>
      <c r="C36" s="360" t="n"/>
      <c r="D36" s="360" t="n"/>
      <c r="E36" s="323" t="n"/>
      <c r="F36" s="898">
        <f>ROUND(D36*E36,0)</f>
        <v/>
      </c>
    </row>
    <row r="37" ht="18.6" customHeight="1" s="7" thickBot="1">
      <c r="A37" s="325" t="n"/>
      <c r="B37" s="899" t="n"/>
      <c r="C37" s="325" t="n"/>
      <c r="D37" s="326" t="n"/>
      <c r="E37" s="327" t="n"/>
      <c r="F37" s="898">
        <f>ROUND(D37*E37,0)</f>
        <v/>
      </c>
    </row>
    <row r="38" ht="18.6" customHeight="1" s="7" thickTop="1">
      <c r="A38" s="328" t="n"/>
      <c r="B38" s="328" t="n"/>
      <c r="C38" s="328" t="n"/>
      <c r="D38" s="329" t="n"/>
      <c r="E38" s="330" t="inlineStr">
        <is>
          <t>小計</t>
        </is>
      </c>
      <c r="F38" s="900">
        <f>SUM(F15:F37)</f>
        <v/>
      </c>
    </row>
    <row r="39">
      <c r="A39" s="304" t="n"/>
      <c r="B39" s="304" t="n"/>
      <c r="C39" s="304" t="n"/>
      <c r="D39" s="304" t="n"/>
      <c r="E39" s="332" t="inlineStr">
        <is>
          <t>消費税</t>
        </is>
      </c>
      <c r="F39" s="901">
        <f>F40-F38</f>
        <v/>
      </c>
    </row>
    <row r="40">
      <c r="A40" s="304" t="n"/>
      <c r="B40" s="304" t="n"/>
      <c r="C40" s="304" t="n"/>
      <c r="D40" s="304" t="n"/>
      <c r="E40" s="332" t="inlineStr">
        <is>
          <t>合計</t>
        </is>
      </c>
      <c r="F40" s="902">
        <f>INT(F38*1.1)</f>
        <v/>
      </c>
    </row>
    <row r="41">
      <c r="A41" s="304" t="n"/>
      <c r="B41" s="304" t="n"/>
      <c r="C41" s="304" t="n"/>
      <c r="D41" s="304" t="n"/>
      <c r="E41" s="304" t="n"/>
      <c r="F41" s="304" t="n"/>
    </row>
    <row r="42">
      <c r="A42" s="360" t="inlineStr">
        <is>
          <t>振込先</t>
        </is>
      </c>
      <c r="B42" s="897" t="n"/>
      <c r="C42" s="304" t="n"/>
      <c r="D42" s="335" t="inlineStr">
        <is>
          <t>お振込み期限：</t>
        </is>
      </c>
      <c r="E42" s="336" t="n"/>
      <c r="F42" s="305" t="n"/>
    </row>
    <row r="43">
      <c r="A43" s="357" t="inlineStr">
        <is>
          <t>金融機関名:三井住友銀行</t>
        </is>
      </c>
      <c r="B43" s="897" t="n"/>
      <c r="C43" s="304" t="n"/>
      <c r="D43" s="305" t="n"/>
      <c r="E43" s="305" t="n"/>
      <c r="F43" s="305" t="n"/>
    </row>
    <row r="44">
      <c r="A44" s="357" t="inlineStr">
        <is>
          <t>支店名：六本木支店</t>
        </is>
      </c>
      <c r="B44" s="897" t="n"/>
      <c r="C44" s="304" t="n"/>
      <c r="D44" s="305" t="n"/>
      <c r="E44" s="305" t="n"/>
      <c r="F44" s="305" t="n"/>
    </row>
    <row r="45">
      <c r="A45" s="357" t="inlineStr">
        <is>
          <t>口座番号：普通 ７８２８０７１</t>
        </is>
      </c>
      <c r="B45" s="897" t="n"/>
      <c r="C45" s="305" t="n"/>
      <c r="D45" s="305" t="n"/>
      <c r="E45" s="305" t="n"/>
      <c r="F45" s="305" t="n"/>
    </row>
    <row r="46">
      <c r="A46" s="357" t="inlineStr">
        <is>
          <t>口座名義：ﾘﾉﾍﾞｼｮｯﾌﾟﾘﾎﾑﾙ ﾌｼﾞﾜﾗﾕｳｼﾞ</t>
        </is>
      </c>
      <c r="B46" s="897" t="n"/>
      <c r="C46" s="304" t="n"/>
      <c r="D46" s="305" t="n"/>
      <c r="E46" s="305" t="n"/>
      <c r="F46" s="305" t="n"/>
    </row>
    <row r="47">
      <c r="A47" s="357" t="inlineStr">
        <is>
          <t>店番：６１９</t>
        </is>
      </c>
      <c r="B47" s="897" t="n"/>
      <c r="C47" s="304" t="n"/>
      <c r="D47" s="305" t="n"/>
      <c r="E47" s="305" t="n"/>
      <c r="F47" s="305" t="n"/>
    </row>
  </sheetData>
  <mergeCells count="37">
    <mergeCell ref="A30:B30"/>
    <mergeCell ref="A24:B24"/>
    <mergeCell ref="A15:B15"/>
    <mergeCell ref="A45:B45"/>
    <mergeCell ref="A36:B36"/>
    <mergeCell ref="E8:F8"/>
    <mergeCell ref="A16:B16"/>
    <mergeCell ref="A25:B25"/>
    <mergeCell ref="E10:F10"/>
    <mergeCell ref="A37:B37"/>
    <mergeCell ref="A46:B46"/>
    <mergeCell ref="A18:B18"/>
    <mergeCell ref="A27:B27"/>
    <mergeCell ref="E9:F9"/>
    <mergeCell ref="A26:B26"/>
    <mergeCell ref="A21:B21"/>
    <mergeCell ref="E6:F6"/>
    <mergeCell ref="A33:B33"/>
    <mergeCell ref="A47:B47"/>
    <mergeCell ref="A42:B42"/>
    <mergeCell ref="A32:B32"/>
    <mergeCell ref="A14:B14"/>
    <mergeCell ref="A17:B17"/>
    <mergeCell ref="A23:B23"/>
    <mergeCell ref="A22:B22"/>
    <mergeCell ref="A35:B35"/>
    <mergeCell ref="A4:B4"/>
    <mergeCell ref="A20:B20"/>
    <mergeCell ref="A29:B29"/>
    <mergeCell ref="A43:B43"/>
    <mergeCell ref="E7:F7"/>
    <mergeCell ref="A19:B19"/>
    <mergeCell ref="A1:F1"/>
    <mergeCell ref="A28:B28"/>
    <mergeCell ref="A44:B44"/>
    <mergeCell ref="A31:B31"/>
    <mergeCell ref="A34:B34"/>
  </mergeCells>
  <printOptions horizontalCentered="1" verticalCentered="1"/>
  <pageMargins left="0.07847222222222219" right="0.07847222222222219" top="0" bottom="0" header="0" footer="0"/>
  <pageSetup orientation="portrait" paperSize="9" scale="7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2015-12-21T00:50:00Z</dcterms:created>
  <dcterms:modified xmlns:dcterms="http://purl.org/dc/terms/" xmlns:xsi="http://www.w3.org/2001/XMLSchema-instance" xsi:type="dcterms:W3CDTF">2026-07-20T15:13:44Z</dcterms:modified>
  <cp:lastModifiedBy>祐二 藤原</cp:lastModifiedBy>
  <cp:lastPrinted>2026-03-05T15:31:20Z</cp:lastPrinted>
</cp:coreProperties>
</file>

<file path=docProps/custom.xml><?xml version="1.0" encoding="utf-8"?>
<Properties xmlns="http://schemas.openxmlformats.org/officeDocument/2006/custom-properties">
  <property name="KSOProductBuildVer" fmtid="{D5CDD505-2E9C-101B-9397-08002B2CF9AE}" pid="2">
    <vt:lpwstr xmlns:vt="http://schemas.openxmlformats.org/officeDocument/2006/docPropsVTypes">1041-11.2.0.10666</vt:lpwstr>
  </property>
  <property name="KSOReadingLayout" fmtid="{D5CDD505-2E9C-101B-9397-08002B2CF9AE}" pid="3">
    <vt:bool xmlns:vt="http://schemas.openxmlformats.org/officeDocument/2006/docPropsVTypes">0</vt:bool>
  </property>
  <property name="ICV" fmtid="{D5CDD505-2E9C-101B-9397-08002B2CF9AE}" pid="4">
    <vt:lpwstr xmlns:vt="http://schemas.openxmlformats.org/officeDocument/2006/docPropsVTypes">9D6229F8233244A88B54E43E591F810A</vt:lpwstr>
  </property>
</Properties>
</file>